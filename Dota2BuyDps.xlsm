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\Dota2ItemsExcel\"/>
    </mc:Choice>
  </mc:AlternateContent>
  <xr:revisionPtr revIDLastSave="0" documentId="13_ncr:1_{C60DDB4E-D944-4651-BF5D-023BAA3252AD}" xr6:coauthVersionLast="47" xr6:coauthVersionMax="47" xr10:uidLastSave="{00000000-0000-0000-0000-000000000000}"/>
  <bookViews>
    <workbookView xWindow="5415" yWindow="5415" windowWidth="28800" windowHeight="15435" tabRatio="250" xr2:uid="{5F86FAF6-8937-4F63-A21A-A0CE59D5FDB3}"/>
  </bookViews>
  <sheets>
    <sheet name="Dota 2" sheetId="2" r:id="rId1"/>
    <sheet name="Items" sheetId="3" r:id="rId2"/>
    <sheet name="Heroes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4" l="1"/>
  <c r="B16" i="4"/>
  <c r="C16" i="4"/>
  <c r="D16" i="4"/>
  <c r="E16" i="4"/>
  <c r="F16" i="4"/>
  <c r="G16" i="4"/>
  <c r="H16" i="4"/>
  <c r="I16" i="4"/>
  <c r="J16" i="4"/>
  <c r="K16" i="4"/>
  <c r="A17" i="4"/>
  <c r="B17" i="4"/>
  <c r="C17" i="4"/>
  <c r="D17" i="4"/>
  <c r="E17" i="4"/>
  <c r="F17" i="4"/>
  <c r="G17" i="4"/>
  <c r="H17" i="4"/>
  <c r="I17" i="4"/>
  <c r="J17" i="4"/>
  <c r="K17" i="4"/>
  <c r="A18" i="4"/>
  <c r="B18" i="4"/>
  <c r="C18" i="4"/>
  <c r="D18" i="4"/>
  <c r="E18" i="4"/>
  <c r="F18" i="4"/>
  <c r="G18" i="4"/>
  <c r="H18" i="4"/>
  <c r="I18" i="4"/>
  <c r="J18" i="4"/>
  <c r="K18" i="4"/>
  <c r="A19" i="4"/>
  <c r="B19" i="4"/>
  <c r="C19" i="4"/>
  <c r="D19" i="4"/>
  <c r="E19" i="4"/>
  <c r="F19" i="4"/>
  <c r="G19" i="4"/>
  <c r="H19" i="4"/>
  <c r="I19" i="4"/>
  <c r="J19" i="4"/>
  <c r="K19" i="4"/>
  <c r="A20" i="4"/>
  <c r="B20" i="4"/>
  <c r="C20" i="4"/>
  <c r="D20" i="4"/>
  <c r="E20" i="4"/>
  <c r="F20" i="4"/>
  <c r="G20" i="4"/>
  <c r="H20" i="4"/>
  <c r="I20" i="4"/>
  <c r="J20" i="4"/>
  <c r="K20" i="4"/>
  <c r="A21" i="4"/>
  <c r="B21" i="4"/>
  <c r="C21" i="4"/>
  <c r="D21" i="4"/>
  <c r="E21" i="4"/>
  <c r="F21" i="4"/>
  <c r="G21" i="4"/>
  <c r="H21" i="4"/>
  <c r="I21" i="4"/>
  <c r="J21" i="4"/>
  <c r="K21" i="4"/>
  <c r="A22" i="4"/>
  <c r="B22" i="4"/>
  <c r="C22" i="4"/>
  <c r="D22" i="4"/>
  <c r="E22" i="4"/>
  <c r="F22" i="4"/>
  <c r="G22" i="4"/>
  <c r="H22" i="4"/>
  <c r="I22" i="4"/>
  <c r="J22" i="4"/>
  <c r="K22" i="4"/>
  <c r="A23" i="4"/>
  <c r="B23" i="4"/>
  <c r="C23" i="4"/>
  <c r="D23" i="4"/>
  <c r="E23" i="4"/>
  <c r="F23" i="4"/>
  <c r="G23" i="4"/>
  <c r="H23" i="4"/>
  <c r="I23" i="4"/>
  <c r="J23" i="4"/>
  <c r="K23" i="4"/>
  <c r="A24" i="4"/>
  <c r="B24" i="4"/>
  <c r="C24" i="4"/>
  <c r="D24" i="4"/>
  <c r="E24" i="4"/>
  <c r="F24" i="4"/>
  <c r="G24" i="4"/>
  <c r="H24" i="4"/>
  <c r="I24" i="4"/>
  <c r="J24" i="4"/>
  <c r="K24" i="4"/>
  <c r="A25" i="4"/>
  <c r="B25" i="4"/>
  <c r="C25" i="4"/>
  <c r="D25" i="4"/>
  <c r="E25" i="4"/>
  <c r="F25" i="4"/>
  <c r="G25" i="4"/>
  <c r="H25" i="4"/>
  <c r="I25" i="4"/>
  <c r="J25" i="4"/>
  <c r="K25" i="4"/>
  <c r="A26" i="4"/>
  <c r="B26" i="4"/>
  <c r="C26" i="4"/>
  <c r="D26" i="4"/>
  <c r="E26" i="4"/>
  <c r="F26" i="4"/>
  <c r="G26" i="4"/>
  <c r="H26" i="4"/>
  <c r="I26" i="4"/>
  <c r="J26" i="4"/>
  <c r="K26" i="4"/>
  <c r="A27" i="4"/>
  <c r="B27" i="4"/>
  <c r="C27" i="4"/>
  <c r="D27" i="4"/>
  <c r="E27" i="4"/>
  <c r="F27" i="4"/>
  <c r="G27" i="4"/>
  <c r="H27" i="4"/>
  <c r="I27" i="4"/>
  <c r="J27" i="4"/>
  <c r="K27" i="4"/>
  <c r="A28" i="4"/>
  <c r="B28" i="4"/>
  <c r="C28" i="4"/>
  <c r="D28" i="4"/>
  <c r="E28" i="4"/>
  <c r="F28" i="4"/>
  <c r="G28" i="4"/>
  <c r="H28" i="4"/>
  <c r="I28" i="4"/>
  <c r="J28" i="4"/>
  <c r="K28" i="4"/>
  <c r="A29" i="4"/>
  <c r="B29" i="4"/>
  <c r="C29" i="4"/>
  <c r="D29" i="4"/>
  <c r="E29" i="4"/>
  <c r="F29" i="4"/>
  <c r="G29" i="4"/>
  <c r="H29" i="4"/>
  <c r="I29" i="4"/>
  <c r="J29" i="4"/>
  <c r="K29" i="4"/>
  <c r="A30" i="4"/>
  <c r="B30" i="4"/>
  <c r="C30" i="4"/>
  <c r="D30" i="4"/>
  <c r="E30" i="4"/>
  <c r="F30" i="4"/>
  <c r="G30" i="4"/>
  <c r="H30" i="4"/>
  <c r="I30" i="4"/>
  <c r="J30" i="4"/>
  <c r="K30" i="4"/>
  <c r="A31" i="4"/>
  <c r="B31" i="4"/>
  <c r="C31" i="4"/>
  <c r="D31" i="4"/>
  <c r="E31" i="4"/>
  <c r="F31" i="4"/>
  <c r="G31" i="4"/>
  <c r="H31" i="4"/>
  <c r="I31" i="4"/>
  <c r="J31" i="4"/>
  <c r="K31" i="4"/>
  <c r="A32" i="4"/>
  <c r="B32" i="4"/>
  <c r="C32" i="4"/>
  <c r="D32" i="4"/>
  <c r="E32" i="4"/>
  <c r="F32" i="4"/>
  <c r="G32" i="4"/>
  <c r="H32" i="4"/>
  <c r="I32" i="4"/>
  <c r="J32" i="4"/>
  <c r="K32" i="4"/>
  <c r="A33" i="4"/>
  <c r="B33" i="4"/>
  <c r="C33" i="4"/>
  <c r="D33" i="4"/>
  <c r="E33" i="4"/>
  <c r="F33" i="4"/>
  <c r="G33" i="4"/>
  <c r="H33" i="4"/>
  <c r="I33" i="4"/>
  <c r="J33" i="4"/>
  <c r="K33" i="4"/>
  <c r="A34" i="4"/>
  <c r="B34" i="4"/>
  <c r="C34" i="4"/>
  <c r="D34" i="4"/>
  <c r="E34" i="4"/>
  <c r="F34" i="4"/>
  <c r="G34" i="4"/>
  <c r="H34" i="4"/>
  <c r="I34" i="4"/>
  <c r="J34" i="4"/>
  <c r="K34" i="4"/>
  <c r="A35" i="4"/>
  <c r="B35" i="4"/>
  <c r="C35" i="4"/>
  <c r="D35" i="4"/>
  <c r="E35" i="4"/>
  <c r="F35" i="4"/>
  <c r="G35" i="4"/>
  <c r="H35" i="4"/>
  <c r="I35" i="4"/>
  <c r="J35" i="4"/>
  <c r="K35" i="4"/>
  <c r="A36" i="4"/>
  <c r="B36" i="4"/>
  <c r="C36" i="4"/>
  <c r="D36" i="4"/>
  <c r="E36" i="4"/>
  <c r="F36" i="4"/>
  <c r="G36" i="4"/>
  <c r="H36" i="4"/>
  <c r="I36" i="4"/>
  <c r="J36" i="4"/>
  <c r="K36" i="4"/>
  <c r="A37" i="4"/>
  <c r="B37" i="4"/>
  <c r="C37" i="4"/>
  <c r="D37" i="4"/>
  <c r="E37" i="4"/>
  <c r="F37" i="4"/>
  <c r="G37" i="4"/>
  <c r="H37" i="4"/>
  <c r="I37" i="4"/>
  <c r="J37" i="4"/>
  <c r="K37" i="4"/>
  <c r="A38" i="4"/>
  <c r="B38" i="4"/>
  <c r="C38" i="4"/>
  <c r="D38" i="4"/>
  <c r="E38" i="4"/>
  <c r="F38" i="4"/>
  <c r="G38" i="4"/>
  <c r="H38" i="4"/>
  <c r="I38" i="4"/>
  <c r="J38" i="4"/>
  <c r="K38" i="4"/>
  <c r="A39" i="4"/>
  <c r="B39" i="4"/>
  <c r="C39" i="4"/>
  <c r="D39" i="4"/>
  <c r="E39" i="4"/>
  <c r="F39" i="4"/>
  <c r="G39" i="4"/>
  <c r="H39" i="4"/>
  <c r="I39" i="4"/>
  <c r="J39" i="4"/>
  <c r="K39" i="4"/>
  <c r="A40" i="4"/>
  <c r="B40" i="4"/>
  <c r="C40" i="4"/>
  <c r="D40" i="4"/>
  <c r="E40" i="4"/>
  <c r="F40" i="4"/>
  <c r="G40" i="4"/>
  <c r="H40" i="4"/>
  <c r="I40" i="4"/>
  <c r="J40" i="4"/>
  <c r="K40" i="4"/>
  <c r="A41" i="4"/>
  <c r="B41" i="4"/>
  <c r="C41" i="4"/>
  <c r="D41" i="4"/>
  <c r="E41" i="4"/>
  <c r="F41" i="4"/>
  <c r="G41" i="4"/>
  <c r="H41" i="4"/>
  <c r="I41" i="4"/>
  <c r="J41" i="4"/>
  <c r="K41" i="4"/>
  <c r="A42" i="4"/>
  <c r="B42" i="4"/>
  <c r="C42" i="4"/>
  <c r="D42" i="4"/>
  <c r="E42" i="4"/>
  <c r="F42" i="4"/>
  <c r="G42" i="4"/>
  <c r="H42" i="4"/>
  <c r="I42" i="4"/>
  <c r="J42" i="4"/>
  <c r="K42" i="4"/>
  <c r="A43" i="4"/>
  <c r="B43" i="4"/>
  <c r="C43" i="4"/>
  <c r="D43" i="4"/>
  <c r="E43" i="4"/>
  <c r="F43" i="4"/>
  <c r="G43" i="4"/>
  <c r="H43" i="4"/>
  <c r="I43" i="4"/>
  <c r="J43" i="4"/>
  <c r="K43" i="4"/>
  <c r="A44" i="4"/>
  <c r="B44" i="4"/>
  <c r="C44" i="4"/>
  <c r="D44" i="4"/>
  <c r="E44" i="4"/>
  <c r="F44" i="4"/>
  <c r="G44" i="4"/>
  <c r="H44" i="4"/>
  <c r="I44" i="4"/>
  <c r="J44" i="4"/>
  <c r="K44" i="4"/>
  <c r="A45" i="4"/>
  <c r="B45" i="4"/>
  <c r="C45" i="4"/>
  <c r="D45" i="4"/>
  <c r="E45" i="4"/>
  <c r="F45" i="4"/>
  <c r="G45" i="4"/>
  <c r="H45" i="4"/>
  <c r="I45" i="4"/>
  <c r="J45" i="4"/>
  <c r="K45" i="4"/>
  <c r="A46" i="4"/>
  <c r="B46" i="4"/>
  <c r="C46" i="4"/>
  <c r="D46" i="4"/>
  <c r="E46" i="4"/>
  <c r="F46" i="4"/>
  <c r="G46" i="4"/>
  <c r="H46" i="4"/>
  <c r="I46" i="4"/>
  <c r="J46" i="4"/>
  <c r="K46" i="4"/>
  <c r="A47" i="4"/>
  <c r="B47" i="4"/>
  <c r="C47" i="4"/>
  <c r="D47" i="4"/>
  <c r="E47" i="4"/>
  <c r="F47" i="4"/>
  <c r="G47" i="4"/>
  <c r="H47" i="4"/>
  <c r="I47" i="4"/>
  <c r="J47" i="4"/>
  <c r="K47" i="4"/>
  <c r="A48" i="4"/>
  <c r="B48" i="4"/>
  <c r="C48" i="4"/>
  <c r="D48" i="4"/>
  <c r="E48" i="4"/>
  <c r="F48" i="4"/>
  <c r="G48" i="4"/>
  <c r="H48" i="4"/>
  <c r="I48" i="4"/>
  <c r="J48" i="4"/>
  <c r="K48" i="4"/>
  <c r="A49" i="4"/>
  <c r="B49" i="4"/>
  <c r="C49" i="4"/>
  <c r="D49" i="4"/>
  <c r="E49" i="4"/>
  <c r="F49" i="4"/>
  <c r="G49" i="4"/>
  <c r="H49" i="4"/>
  <c r="I49" i="4"/>
  <c r="J49" i="4"/>
  <c r="K49" i="4"/>
  <c r="A50" i="4"/>
  <c r="B50" i="4"/>
  <c r="C50" i="4"/>
  <c r="D50" i="4"/>
  <c r="E50" i="4"/>
  <c r="F50" i="4"/>
  <c r="G50" i="4"/>
  <c r="H50" i="4"/>
  <c r="I50" i="4"/>
  <c r="J50" i="4"/>
  <c r="K50" i="4"/>
  <c r="A51" i="4"/>
  <c r="B51" i="4"/>
  <c r="C51" i="4"/>
  <c r="D51" i="4"/>
  <c r="E51" i="4"/>
  <c r="F51" i="4"/>
  <c r="G51" i="4"/>
  <c r="H51" i="4"/>
  <c r="I51" i="4"/>
  <c r="J51" i="4"/>
  <c r="K51" i="4"/>
  <c r="A52" i="4"/>
  <c r="B52" i="4"/>
  <c r="C52" i="4"/>
  <c r="D52" i="4"/>
  <c r="E52" i="4"/>
  <c r="F52" i="4"/>
  <c r="G52" i="4"/>
  <c r="H52" i="4"/>
  <c r="I52" i="4"/>
  <c r="J52" i="4"/>
  <c r="K52" i="4"/>
  <c r="A53" i="4"/>
  <c r="B53" i="4"/>
  <c r="C53" i="4"/>
  <c r="D53" i="4"/>
  <c r="E53" i="4"/>
  <c r="F53" i="4"/>
  <c r="G53" i="4"/>
  <c r="H53" i="4"/>
  <c r="I53" i="4"/>
  <c r="J53" i="4"/>
  <c r="K53" i="4"/>
  <c r="A54" i="4"/>
  <c r="B54" i="4"/>
  <c r="C54" i="4"/>
  <c r="D54" i="4"/>
  <c r="E54" i="4"/>
  <c r="F54" i="4"/>
  <c r="G54" i="4"/>
  <c r="H54" i="4"/>
  <c r="I54" i="4"/>
  <c r="J54" i="4"/>
  <c r="K54" i="4"/>
  <c r="A55" i="4"/>
  <c r="B55" i="4"/>
  <c r="C55" i="4"/>
  <c r="D55" i="4"/>
  <c r="E55" i="4"/>
  <c r="F55" i="4"/>
  <c r="G55" i="4"/>
  <c r="H55" i="4"/>
  <c r="I55" i="4"/>
  <c r="J55" i="4"/>
  <c r="K55" i="4"/>
  <c r="A56" i="4"/>
  <c r="B56" i="4"/>
  <c r="C56" i="4"/>
  <c r="D56" i="4"/>
  <c r="E56" i="4"/>
  <c r="F56" i="4"/>
  <c r="G56" i="4"/>
  <c r="H56" i="4"/>
  <c r="I56" i="4"/>
  <c r="J56" i="4"/>
  <c r="K56" i="4"/>
  <c r="A57" i="4"/>
  <c r="B57" i="4"/>
  <c r="C57" i="4"/>
  <c r="D57" i="4"/>
  <c r="E57" i="4"/>
  <c r="F57" i="4"/>
  <c r="G57" i="4"/>
  <c r="H57" i="4"/>
  <c r="I57" i="4"/>
  <c r="J57" i="4"/>
  <c r="K57" i="4"/>
  <c r="A58" i="4"/>
  <c r="B58" i="4"/>
  <c r="C58" i="4"/>
  <c r="D58" i="4"/>
  <c r="E58" i="4"/>
  <c r="F58" i="4"/>
  <c r="G58" i="4"/>
  <c r="H58" i="4"/>
  <c r="I58" i="4"/>
  <c r="J58" i="4"/>
  <c r="K58" i="4"/>
  <c r="A59" i="4"/>
  <c r="B59" i="4"/>
  <c r="C59" i="4"/>
  <c r="D59" i="4"/>
  <c r="E59" i="4"/>
  <c r="F59" i="4"/>
  <c r="G59" i="4"/>
  <c r="H59" i="4"/>
  <c r="I59" i="4"/>
  <c r="J59" i="4"/>
  <c r="K59" i="4"/>
  <c r="A60" i="4"/>
  <c r="B60" i="4"/>
  <c r="C60" i="4"/>
  <c r="D60" i="4"/>
  <c r="E60" i="4"/>
  <c r="F60" i="4"/>
  <c r="G60" i="4"/>
  <c r="H60" i="4"/>
  <c r="I60" i="4"/>
  <c r="J60" i="4"/>
  <c r="K60" i="4"/>
  <c r="A61" i="4"/>
  <c r="B61" i="4"/>
  <c r="C61" i="4"/>
  <c r="D61" i="4"/>
  <c r="E61" i="4"/>
  <c r="F61" i="4"/>
  <c r="G61" i="4"/>
  <c r="H61" i="4"/>
  <c r="I61" i="4"/>
  <c r="J61" i="4"/>
  <c r="K61" i="4"/>
  <c r="A62" i="4"/>
  <c r="B62" i="4"/>
  <c r="C62" i="4"/>
  <c r="D62" i="4"/>
  <c r="E62" i="4"/>
  <c r="F62" i="4"/>
  <c r="G62" i="4"/>
  <c r="H62" i="4"/>
  <c r="I62" i="4"/>
  <c r="J62" i="4"/>
  <c r="K62" i="4"/>
  <c r="A63" i="4"/>
  <c r="B63" i="4"/>
  <c r="C63" i="4"/>
  <c r="D63" i="4"/>
  <c r="E63" i="4"/>
  <c r="F63" i="4"/>
  <c r="G63" i="4"/>
  <c r="H63" i="4"/>
  <c r="I63" i="4"/>
  <c r="J63" i="4"/>
  <c r="K63" i="4"/>
  <c r="A64" i="4"/>
  <c r="B64" i="4"/>
  <c r="C64" i="4"/>
  <c r="D64" i="4"/>
  <c r="E64" i="4"/>
  <c r="F64" i="4"/>
  <c r="G64" i="4"/>
  <c r="H64" i="4"/>
  <c r="I64" i="4"/>
  <c r="J64" i="4"/>
  <c r="K64" i="4"/>
  <c r="A65" i="4"/>
  <c r="B65" i="4"/>
  <c r="C65" i="4"/>
  <c r="D65" i="4"/>
  <c r="E65" i="4"/>
  <c r="F65" i="4"/>
  <c r="G65" i="4"/>
  <c r="H65" i="4"/>
  <c r="I65" i="4"/>
  <c r="J65" i="4"/>
  <c r="K65" i="4"/>
  <c r="A66" i="4"/>
  <c r="B66" i="4"/>
  <c r="C66" i="4"/>
  <c r="D66" i="4"/>
  <c r="E66" i="4"/>
  <c r="F66" i="4"/>
  <c r="G66" i="4"/>
  <c r="H66" i="4"/>
  <c r="I66" i="4"/>
  <c r="J66" i="4"/>
  <c r="K66" i="4"/>
  <c r="A67" i="4"/>
  <c r="B67" i="4"/>
  <c r="C67" i="4"/>
  <c r="D67" i="4"/>
  <c r="E67" i="4"/>
  <c r="F67" i="4"/>
  <c r="G67" i="4"/>
  <c r="H67" i="4"/>
  <c r="I67" i="4"/>
  <c r="J67" i="4"/>
  <c r="K67" i="4"/>
  <c r="A68" i="4"/>
  <c r="B68" i="4"/>
  <c r="C68" i="4"/>
  <c r="D68" i="4"/>
  <c r="E68" i="4"/>
  <c r="F68" i="4"/>
  <c r="G68" i="4"/>
  <c r="H68" i="4"/>
  <c r="I68" i="4"/>
  <c r="J68" i="4"/>
  <c r="K68" i="4"/>
  <c r="A69" i="4"/>
  <c r="B69" i="4"/>
  <c r="C69" i="4"/>
  <c r="D69" i="4"/>
  <c r="E69" i="4"/>
  <c r="F69" i="4"/>
  <c r="G69" i="4"/>
  <c r="H69" i="4"/>
  <c r="I69" i="4"/>
  <c r="J69" i="4"/>
  <c r="K69" i="4"/>
  <c r="A70" i="4"/>
  <c r="B70" i="4"/>
  <c r="C70" i="4"/>
  <c r="D70" i="4"/>
  <c r="E70" i="4"/>
  <c r="F70" i="4"/>
  <c r="G70" i="4"/>
  <c r="H70" i="4"/>
  <c r="I70" i="4"/>
  <c r="J70" i="4"/>
  <c r="K70" i="4"/>
  <c r="A71" i="4"/>
  <c r="B71" i="4"/>
  <c r="C71" i="4"/>
  <c r="D71" i="4"/>
  <c r="E71" i="4"/>
  <c r="F71" i="4"/>
  <c r="G71" i="4"/>
  <c r="H71" i="4"/>
  <c r="I71" i="4"/>
  <c r="J71" i="4"/>
  <c r="K71" i="4"/>
  <c r="A72" i="4"/>
  <c r="B72" i="4"/>
  <c r="C72" i="4"/>
  <c r="D72" i="4"/>
  <c r="E72" i="4"/>
  <c r="F72" i="4"/>
  <c r="G72" i="4"/>
  <c r="H72" i="4"/>
  <c r="I72" i="4"/>
  <c r="J72" i="4"/>
  <c r="K72" i="4"/>
  <c r="A73" i="4"/>
  <c r="B73" i="4"/>
  <c r="C73" i="4"/>
  <c r="D73" i="4"/>
  <c r="E73" i="4"/>
  <c r="F73" i="4"/>
  <c r="G73" i="4"/>
  <c r="H73" i="4"/>
  <c r="I73" i="4"/>
  <c r="J73" i="4"/>
  <c r="K73" i="4"/>
  <c r="A74" i="4"/>
  <c r="B74" i="4"/>
  <c r="C74" i="4"/>
  <c r="D74" i="4"/>
  <c r="E74" i="4"/>
  <c r="F74" i="4"/>
  <c r="G74" i="4"/>
  <c r="H74" i="4"/>
  <c r="I74" i="4"/>
  <c r="J74" i="4"/>
  <c r="K74" i="4"/>
  <c r="A75" i="4"/>
  <c r="B75" i="4"/>
  <c r="C75" i="4"/>
  <c r="D75" i="4"/>
  <c r="E75" i="4"/>
  <c r="F75" i="4"/>
  <c r="G75" i="4"/>
  <c r="H75" i="4"/>
  <c r="I75" i="4"/>
  <c r="J75" i="4"/>
  <c r="K75" i="4"/>
  <c r="A76" i="4"/>
  <c r="B76" i="4"/>
  <c r="C76" i="4"/>
  <c r="D76" i="4"/>
  <c r="E76" i="4"/>
  <c r="F76" i="4"/>
  <c r="G76" i="4"/>
  <c r="H76" i="4"/>
  <c r="I76" i="4"/>
  <c r="J76" i="4"/>
  <c r="K76" i="4"/>
  <c r="A77" i="4"/>
  <c r="B77" i="4"/>
  <c r="C77" i="4"/>
  <c r="D77" i="4"/>
  <c r="E77" i="4"/>
  <c r="F77" i="4"/>
  <c r="G77" i="4"/>
  <c r="H77" i="4"/>
  <c r="I77" i="4"/>
  <c r="J77" i="4"/>
  <c r="K77" i="4"/>
  <c r="A78" i="4"/>
  <c r="B78" i="4"/>
  <c r="C78" i="4"/>
  <c r="D78" i="4"/>
  <c r="E78" i="4"/>
  <c r="F78" i="4"/>
  <c r="G78" i="4"/>
  <c r="H78" i="4"/>
  <c r="I78" i="4"/>
  <c r="J78" i="4"/>
  <c r="K78" i="4"/>
  <c r="A79" i="4"/>
  <c r="B79" i="4"/>
  <c r="C79" i="4"/>
  <c r="D79" i="4"/>
  <c r="E79" i="4"/>
  <c r="F79" i="4"/>
  <c r="G79" i="4"/>
  <c r="H79" i="4"/>
  <c r="I79" i="4"/>
  <c r="J79" i="4"/>
  <c r="K79" i="4"/>
  <c r="A80" i="4"/>
  <c r="B80" i="4"/>
  <c r="C80" i="4"/>
  <c r="D80" i="4"/>
  <c r="E80" i="4"/>
  <c r="F80" i="4"/>
  <c r="G80" i="4"/>
  <c r="H80" i="4"/>
  <c r="I80" i="4"/>
  <c r="J80" i="4"/>
  <c r="K80" i="4"/>
  <c r="A81" i="4"/>
  <c r="B81" i="4"/>
  <c r="C81" i="4"/>
  <c r="D81" i="4"/>
  <c r="E81" i="4"/>
  <c r="F81" i="4"/>
  <c r="G81" i="4"/>
  <c r="H81" i="4"/>
  <c r="I81" i="4"/>
  <c r="J81" i="4"/>
  <c r="K81" i="4"/>
  <c r="A82" i="4"/>
  <c r="B82" i="4"/>
  <c r="C82" i="4"/>
  <c r="D82" i="4"/>
  <c r="E82" i="4"/>
  <c r="F82" i="4"/>
  <c r="G82" i="4"/>
  <c r="H82" i="4"/>
  <c r="I82" i="4"/>
  <c r="J82" i="4"/>
  <c r="K82" i="4"/>
  <c r="A83" i="4"/>
  <c r="B83" i="4"/>
  <c r="C83" i="4"/>
  <c r="D83" i="4"/>
  <c r="E83" i="4"/>
  <c r="F83" i="4"/>
  <c r="G83" i="4"/>
  <c r="H83" i="4"/>
  <c r="I83" i="4"/>
  <c r="J83" i="4"/>
  <c r="K83" i="4"/>
  <c r="A84" i="4"/>
  <c r="B84" i="4"/>
  <c r="C84" i="4"/>
  <c r="D84" i="4"/>
  <c r="E84" i="4"/>
  <c r="F84" i="4"/>
  <c r="G84" i="4"/>
  <c r="H84" i="4"/>
  <c r="I84" i="4"/>
  <c r="J84" i="4"/>
  <c r="K84" i="4"/>
  <c r="A85" i="4"/>
  <c r="B85" i="4"/>
  <c r="C85" i="4"/>
  <c r="D85" i="4"/>
  <c r="E85" i="4"/>
  <c r="F85" i="4"/>
  <c r="G85" i="4"/>
  <c r="H85" i="4"/>
  <c r="I85" i="4"/>
  <c r="J85" i="4"/>
  <c r="K85" i="4"/>
  <c r="A86" i="4"/>
  <c r="B86" i="4"/>
  <c r="C86" i="4"/>
  <c r="D86" i="4"/>
  <c r="E86" i="4"/>
  <c r="F86" i="4"/>
  <c r="G86" i="4"/>
  <c r="H86" i="4"/>
  <c r="I86" i="4"/>
  <c r="J86" i="4"/>
  <c r="K86" i="4"/>
  <c r="A87" i="4"/>
  <c r="B87" i="4"/>
  <c r="C87" i="4"/>
  <c r="D87" i="4"/>
  <c r="E87" i="4"/>
  <c r="F87" i="4"/>
  <c r="G87" i="4"/>
  <c r="H87" i="4"/>
  <c r="I87" i="4"/>
  <c r="J87" i="4"/>
  <c r="K87" i="4"/>
  <c r="A88" i="4"/>
  <c r="B88" i="4"/>
  <c r="C88" i="4"/>
  <c r="D88" i="4"/>
  <c r="E88" i="4"/>
  <c r="F88" i="4"/>
  <c r="G88" i="4"/>
  <c r="H88" i="4"/>
  <c r="I88" i="4"/>
  <c r="J88" i="4"/>
  <c r="K88" i="4"/>
  <c r="A89" i="4"/>
  <c r="B89" i="4"/>
  <c r="C89" i="4"/>
  <c r="D89" i="4"/>
  <c r="E89" i="4"/>
  <c r="F89" i="4"/>
  <c r="G89" i="4"/>
  <c r="H89" i="4"/>
  <c r="I89" i="4"/>
  <c r="J89" i="4"/>
  <c r="K89" i="4"/>
  <c r="A90" i="4"/>
  <c r="B90" i="4"/>
  <c r="C90" i="4"/>
  <c r="D90" i="4"/>
  <c r="E90" i="4"/>
  <c r="F90" i="4"/>
  <c r="G90" i="4"/>
  <c r="H90" i="4"/>
  <c r="I90" i="4"/>
  <c r="J90" i="4"/>
  <c r="K90" i="4"/>
  <c r="A91" i="4"/>
  <c r="B91" i="4"/>
  <c r="C91" i="4"/>
  <c r="D91" i="4"/>
  <c r="E91" i="4"/>
  <c r="F91" i="4"/>
  <c r="G91" i="4"/>
  <c r="H91" i="4"/>
  <c r="I91" i="4"/>
  <c r="J91" i="4"/>
  <c r="K91" i="4"/>
  <c r="A92" i="4"/>
  <c r="B92" i="4"/>
  <c r="C92" i="4"/>
  <c r="D92" i="4"/>
  <c r="E92" i="4"/>
  <c r="F92" i="4"/>
  <c r="G92" i="4"/>
  <c r="H92" i="4"/>
  <c r="I92" i="4"/>
  <c r="J92" i="4"/>
  <c r="K92" i="4"/>
  <c r="A93" i="4"/>
  <c r="B93" i="4"/>
  <c r="C93" i="4"/>
  <c r="D93" i="4"/>
  <c r="E93" i="4"/>
  <c r="F93" i="4"/>
  <c r="G93" i="4"/>
  <c r="H93" i="4"/>
  <c r="I93" i="4"/>
  <c r="J93" i="4"/>
  <c r="K93" i="4"/>
  <c r="A94" i="4"/>
  <c r="B94" i="4"/>
  <c r="C94" i="4"/>
  <c r="D94" i="4"/>
  <c r="E94" i="4"/>
  <c r="F94" i="4"/>
  <c r="G94" i="4"/>
  <c r="H94" i="4"/>
  <c r="I94" i="4"/>
  <c r="J94" i="4"/>
  <c r="K94" i="4"/>
  <c r="A95" i="4"/>
  <c r="B95" i="4"/>
  <c r="C95" i="4"/>
  <c r="D95" i="4"/>
  <c r="E95" i="4"/>
  <c r="F95" i="4"/>
  <c r="G95" i="4"/>
  <c r="H95" i="4"/>
  <c r="I95" i="4"/>
  <c r="J95" i="4"/>
  <c r="K95" i="4"/>
  <c r="A96" i="4"/>
  <c r="B96" i="4"/>
  <c r="C96" i="4"/>
  <c r="D96" i="4"/>
  <c r="E96" i="4"/>
  <c r="F96" i="4"/>
  <c r="G96" i="4"/>
  <c r="H96" i="4"/>
  <c r="I96" i="4"/>
  <c r="J96" i="4"/>
  <c r="K96" i="4"/>
  <c r="A97" i="4"/>
  <c r="B97" i="4"/>
  <c r="C97" i="4"/>
  <c r="D97" i="4"/>
  <c r="E97" i="4"/>
  <c r="F97" i="4"/>
  <c r="G97" i="4"/>
  <c r="H97" i="4"/>
  <c r="I97" i="4"/>
  <c r="J97" i="4"/>
  <c r="K97" i="4"/>
  <c r="A98" i="4"/>
  <c r="B98" i="4"/>
  <c r="C98" i="4"/>
  <c r="D98" i="4"/>
  <c r="E98" i="4"/>
  <c r="F98" i="4"/>
  <c r="G98" i="4"/>
  <c r="H98" i="4"/>
  <c r="I98" i="4"/>
  <c r="J98" i="4"/>
  <c r="K98" i="4"/>
  <c r="A99" i="4"/>
  <c r="B99" i="4"/>
  <c r="C99" i="4"/>
  <c r="D99" i="4"/>
  <c r="E99" i="4"/>
  <c r="F99" i="4"/>
  <c r="G99" i="4"/>
  <c r="H99" i="4"/>
  <c r="I99" i="4"/>
  <c r="J99" i="4"/>
  <c r="K99" i="4"/>
  <c r="A100" i="4"/>
  <c r="B100" i="4"/>
  <c r="C100" i="4"/>
  <c r="D100" i="4"/>
  <c r="E100" i="4"/>
  <c r="F100" i="4"/>
  <c r="G100" i="4"/>
  <c r="H100" i="4"/>
  <c r="I100" i="4"/>
  <c r="J100" i="4"/>
  <c r="K100" i="4"/>
  <c r="A101" i="4"/>
  <c r="B101" i="4"/>
  <c r="C101" i="4"/>
  <c r="D101" i="4"/>
  <c r="E101" i="4"/>
  <c r="F101" i="4"/>
  <c r="G101" i="4"/>
  <c r="H101" i="4"/>
  <c r="I101" i="4"/>
  <c r="J101" i="4"/>
  <c r="K101" i="4"/>
  <c r="A102" i="4"/>
  <c r="B102" i="4"/>
  <c r="C102" i="4"/>
  <c r="D102" i="4"/>
  <c r="E102" i="4"/>
  <c r="F102" i="4"/>
  <c r="G102" i="4"/>
  <c r="H102" i="4"/>
  <c r="I102" i="4"/>
  <c r="J102" i="4"/>
  <c r="K102" i="4"/>
  <c r="A103" i="4"/>
  <c r="B103" i="4"/>
  <c r="C103" i="4"/>
  <c r="D103" i="4"/>
  <c r="E103" i="4"/>
  <c r="F103" i="4"/>
  <c r="G103" i="4"/>
  <c r="H103" i="4"/>
  <c r="I103" i="4"/>
  <c r="J103" i="4"/>
  <c r="K103" i="4"/>
  <c r="A104" i="4"/>
  <c r="B104" i="4"/>
  <c r="C104" i="4"/>
  <c r="D104" i="4"/>
  <c r="E104" i="4"/>
  <c r="F104" i="4"/>
  <c r="G104" i="4"/>
  <c r="H104" i="4"/>
  <c r="I104" i="4"/>
  <c r="J104" i="4"/>
  <c r="K104" i="4"/>
  <c r="A105" i="4"/>
  <c r="B105" i="4"/>
  <c r="C105" i="4"/>
  <c r="D105" i="4"/>
  <c r="E105" i="4"/>
  <c r="F105" i="4"/>
  <c r="G105" i="4"/>
  <c r="H105" i="4"/>
  <c r="I105" i="4"/>
  <c r="J105" i="4"/>
  <c r="K105" i="4"/>
  <c r="A106" i="4"/>
  <c r="B106" i="4"/>
  <c r="C106" i="4"/>
  <c r="D106" i="4"/>
  <c r="E106" i="4"/>
  <c r="F106" i="4"/>
  <c r="G106" i="4"/>
  <c r="H106" i="4"/>
  <c r="I106" i="4"/>
  <c r="J106" i="4"/>
  <c r="K106" i="4"/>
  <c r="A107" i="4"/>
  <c r="B107" i="4"/>
  <c r="C107" i="4"/>
  <c r="D107" i="4"/>
  <c r="E107" i="4"/>
  <c r="F107" i="4"/>
  <c r="G107" i="4"/>
  <c r="H107" i="4"/>
  <c r="I107" i="4"/>
  <c r="J107" i="4"/>
  <c r="K107" i="4"/>
  <c r="A108" i="4"/>
  <c r="B108" i="4"/>
  <c r="C108" i="4"/>
  <c r="D108" i="4"/>
  <c r="E108" i="4"/>
  <c r="F108" i="4"/>
  <c r="G108" i="4"/>
  <c r="H108" i="4"/>
  <c r="I108" i="4"/>
  <c r="J108" i="4"/>
  <c r="K108" i="4"/>
  <c r="A109" i="4"/>
  <c r="B109" i="4"/>
  <c r="C109" i="4"/>
  <c r="D109" i="4"/>
  <c r="E109" i="4"/>
  <c r="F109" i="4"/>
  <c r="G109" i="4"/>
  <c r="H109" i="4"/>
  <c r="I109" i="4"/>
  <c r="J109" i="4"/>
  <c r="K109" i="4"/>
  <c r="A110" i="4"/>
  <c r="B110" i="4"/>
  <c r="C110" i="4"/>
  <c r="D110" i="4"/>
  <c r="E110" i="4"/>
  <c r="F110" i="4"/>
  <c r="G110" i="4"/>
  <c r="H110" i="4"/>
  <c r="I110" i="4"/>
  <c r="J110" i="4"/>
  <c r="K110" i="4"/>
  <c r="A111" i="4"/>
  <c r="B111" i="4"/>
  <c r="C111" i="4"/>
  <c r="D111" i="4"/>
  <c r="E111" i="4"/>
  <c r="F111" i="4"/>
  <c r="G111" i="4"/>
  <c r="H111" i="4"/>
  <c r="I111" i="4"/>
  <c r="J111" i="4"/>
  <c r="K111" i="4"/>
  <c r="A112" i="4"/>
  <c r="B112" i="4"/>
  <c r="C112" i="4"/>
  <c r="D112" i="4"/>
  <c r="E112" i="4"/>
  <c r="F112" i="4"/>
  <c r="G112" i="4"/>
  <c r="H112" i="4"/>
  <c r="I112" i="4"/>
  <c r="J112" i="4"/>
  <c r="K112" i="4"/>
  <c r="A113" i="4"/>
  <c r="B113" i="4"/>
  <c r="C113" i="4"/>
  <c r="D113" i="4"/>
  <c r="E113" i="4"/>
  <c r="F113" i="4"/>
  <c r="G113" i="4"/>
  <c r="H113" i="4"/>
  <c r="I113" i="4"/>
  <c r="J113" i="4"/>
  <c r="K113" i="4"/>
  <c r="A114" i="4"/>
  <c r="B114" i="4"/>
  <c r="C114" i="4"/>
  <c r="D114" i="4"/>
  <c r="E114" i="4"/>
  <c r="F114" i="4"/>
  <c r="G114" i="4"/>
  <c r="H114" i="4"/>
  <c r="I114" i="4"/>
  <c r="J114" i="4"/>
  <c r="K114" i="4"/>
  <c r="A115" i="4"/>
  <c r="B115" i="4"/>
  <c r="C115" i="4"/>
  <c r="D115" i="4"/>
  <c r="E115" i="4"/>
  <c r="F115" i="4"/>
  <c r="G115" i="4"/>
  <c r="H115" i="4"/>
  <c r="I115" i="4"/>
  <c r="J115" i="4"/>
  <c r="K115" i="4"/>
  <c r="A116" i="4"/>
  <c r="B116" i="4"/>
  <c r="C116" i="4"/>
  <c r="D116" i="4"/>
  <c r="E116" i="4"/>
  <c r="F116" i="4"/>
  <c r="G116" i="4"/>
  <c r="H116" i="4"/>
  <c r="I116" i="4"/>
  <c r="J116" i="4"/>
  <c r="K116" i="4"/>
  <c r="A117" i="4"/>
  <c r="B117" i="4"/>
  <c r="C117" i="4"/>
  <c r="D117" i="4"/>
  <c r="E117" i="4"/>
  <c r="F117" i="4"/>
  <c r="G117" i="4"/>
  <c r="H117" i="4"/>
  <c r="I117" i="4"/>
  <c r="J117" i="4"/>
  <c r="K117" i="4"/>
  <c r="A118" i="4"/>
  <c r="B118" i="4"/>
  <c r="C118" i="4"/>
  <c r="D118" i="4"/>
  <c r="E118" i="4"/>
  <c r="F118" i="4"/>
  <c r="G118" i="4"/>
  <c r="H118" i="4"/>
  <c r="I118" i="4"/>
  <c r="J118" i="4"/>
  <c r="K118" i="4"/>
  <c r="A119" i="4"/>
  <c r="B119" i="4"/>
  <c r="C119" i="4"/>
  <c r="D119" i="4"/>
  <c r="E119" i="4"/>
  <c r="F119" i="4"/>
  <c r="G119" i="4"/>
  <c r="H119" i="4"/>
  <c r="I119" i="4"/>
  <c r="J119" i="4"/>
  <c r="K119" i="4"/>
  <c r="A120" i="4"/>
  <c r="B120" i="4"/>
  <c r="C120" i="4"/>
  <c r="D120" i="4"/>
  <c r="E120" i="4"/>
  <c r="F120" i="4"/>
  <c r="G120" i="4"/>
  <c r="H120" i="4"/>
  <c r="I120" i="4"/>
  <c r="J120" i="4"/>
  <c r="K120" i="4"/>
  <c r="A121" i="4"/>
  <c r="B121" i="4"/>
  <c r="C121" i="4"/>
  <c r="D121" i="4"/>
  <c r="E121" i="4"/>
  <c r="F121" i="4"/>
  <c r="G121" i="4"/>
  <c r="H121" i="4"/>
  <c r="I121" i="4"/>
  <c r="J121" i="4"/>
  <c r="K121" i="4"/>
  <c r="A122" i="4"/>
  <c r="B122" i="4"/>
  <c r="C122" i="4"/>
  <c r="D122" i="4"/>
  <c r="E122" i="4"/>
  <c r="F122" i="4"/>
  <c r="G122" i="4"/>
  <c r="H122" i="4"/>
  <c r="I122" i="4"/>
  <c r="J122" i="4"/>
  <c r="K122" i="4"/>
  <c r="A123" i="4"/>
  <c r="B123" i="4"/>
  <c r="C123" i="4"/>
  <c r="D123" i="4"/>
  <c r="E123" i="4"/>
  <c r="F123" i="4"/>
  <c r="G123" i="4"/>
  <c r="H123" i="4"/>
  <c r="I123" i="4"/>
  <c r="J123" i="4"/>
  <c r="K123" i="4"/>
  <c r="A124" i="4"/>
  <c r="B124" i="4"/>
  <c r="C124" i="4"/>
  <c r="D124" i="4"/>
  <c r="E124" i="4"/>
  <c r="F124" i="4"/>
  <c r="G124" i="4"/>
  <c r="H124" i="4"/>
  <c r="I124" i="4"/>
  <c r="J124" i="4"/>
  <c r="K124" i="4"/>
  <c r="A125" i="4"/>
  <c r="B125" i="4"/>
  <c r="C125" i="4"/>
  <c r="D125" i="4"/>
  <c r="E125" i="4"/>
  <c r="F125" i="4"/>
  <c r="G125" i="4"/>
  <c r="H125" i="4"/>
  <c r="I125" i="4"/>
  <c r="J125" i="4"/>
  <c r="K125" i="4"/>
  <c r="A126" i="4"/>
  <c r="B126" i="4"/>
  <c r="C126" i="4"/>
  <c r="D126" i="4"/>
  <c r="E126" i="4"/>
  <c r="F126" i="4"/>
  <c r="G126" i="4"/>
  <c r="H126" i="4"/>
  <c r="I126" i="4"/>
  <c r="J126" i="4"/>
  <c r="K126" i="4"/>
  <c r="A127" i="4"/>
  <c r="B127" i="4"/>
  <c r="C127" i="4"/>
  <c r="D127" i="4"/>
  <c r="E127" i="4"/>
  <c r="F127" i="4"/>
  <c r="G127" i="4"/>
  <c r="H127" i="4"/>
  <c r="I127" i="4"/>
  <c r="J127" i="4"/>
  <c r="K127" i="4"/>
  <c r="A128" i="4"/>
  <c r="B128" i="4"/>
  <c r="C128" i="4"/>
  <c r="D128" i="4"/>
  <c r="E128" i="4"/>
  <c r="F128" i="4"/>
  <c r="G128" i="4"/>
  <c r="H128" i="4"/>
  <c r="I128" i="4"/>
  <c r="J128" i="4"/>
  <c r="K128" i="4"/>
  <c r="A129" i="4"/>
  <c r="B129" i="4"/>
  <c r="C129" i="4"/>
  <c r="D129" i="4"/>
  <c r="E129" i="4"/>
  <c r="F129" i="4"/>
  <c r="G129" i="4"/>
  <c r="H129" i="4"/>
  <c r="I129" i="4"/>
  <c r="J129" i="4"/>
  <c r="K129" i="4"/>
  <c r="A130" i="4"/>
  <c r="B130" i="4"/>
  <c r="C130" i="4"/>
  <c r="D130" i="4"/>
  <c r="E130" i="4"/>
  <c r="F130" i="4"/>
  <c r="G130" i="4"/>
  <c r="H130" i="4"/>
  <c r="I130" i="4"/>
  <c r="J130" i="4"/>
  <c r="K130" i="4"/>
  <c r="A131" i="4"/>
  <c r="B131" i="4"/>
  <c r="C131" i="4"/>
  <c r="D131" i="4"/>
  <c r="E131" i="4"/>
  <c r="F131" i="4"/>
  <c r="G131" i="4"/>
  <c r="H131" i="4"/>
  <c r="I131" i="4"/>
  <c r="J131" i="4"/>
  <c r="K131" i="4"/>
  <c r="A132" i="4"/>
  <c r="B132" i="4"/>
  <c r="C132" i="4"/>
  <c r="D132" i="4"/>
  <c r="E132" i="4"/>
  <c r="F132" i="4"/>
  <c r="G132" i="4"/>
  <c r="H132" i="4"/>
  <c r="I132" i="4"/>
  <c r="J132" i="4"/>
  <c r="K132" i="4"/>
  <c r="A133" i="4"/>
  <c r="B133" i="4"/>
  <c r="C133" i="4"/>
  <c r="D133" i="4"/>
  <c r="E133" i="4"/>
  <c r="F133" i="4"/>
  <c r="G133" i="4"/>
  <c r="H133" i="4"/>
  <c r="I133" i="4"/>
  <c r="J133" i="4"/>
  <c r="K133" i="4"/>
  <c r="A134" i="4"/>
  <c r="B134" i="4"/>
  <c r="C134" i="4"/>
  <c r="D134" i="4"/>
  <c r="E134" i="4"/>
  <c r="F134" i="4"/>
  <c r="G134" i="4"/>
  <c r="H134" i="4"/>
  <c r="I134" i="4"/>
  <c r="J134" i="4"/>
  <c r="K134" i="4"/>
  <c r="A135" i="4"/>
  <c r="B135" i="4"/>
  <c r="C135" i="4"/>
  <c r="D135" i="4"/>
  <c r="E135" i="4"/>
  <c r="F135" i="4"/>
  <c r="G135" i="4"/>
  <c r="H135" i="4"/>
  <c r="I135" i="4"/>
  <c r="J135" i="4"/>
  <c r="K135" i="4"/>
  <c r="A136" i="4"/>
  <c r="B136" i="4"/>
  <c r="C136" i="4"/>
  <c r="D136" i="4"/>
  <c r="E136" i="4"/>
  <c r="F136" i="4"/>
  <c r="G136" i="4"/>
  <c r="H136" i="4"/>
  <c r="I136" i="4"/>
  <c r="J136" i="4"/>
  <c r="K136" i="4"/>
  <c r="A137" i="4"/>
  <c r="B137" i="4"/>
  <c r="C137" i="4"/>
  <c r="D137" i="4"/>
  <c r="E137" i="4"/>
  <c r="F137" i="4"/>
  <c r="G137" i="4"/>
  <c r="H137" i="4"/>
  <c r="I137" i="4"/>
  <c r="J137" i="4"/>
  <c r="K137" i="4"/>
  <c r="A138" i="4"/>
  <c r="B138" i="4"/>
  <c r="C138" i="4"/>
  <c r="D138" i="4"/>
  <c r="E138" i="4"/>
  <c r="F138" i="4"/>
  <c r="G138" i="4"/>
  <c r="H138" i="4"/>
  <c r="I138" i="4"/>
  <c r="J138" i="4"/>
  <c r="K138" i="4"/>
  <c r="A139" i="4"/>
  <c r="B139" i="4"/>
  <c r="C139" i="4"/>
  <c r="D139" i="4"/>
  <c r="E139" i="4"/>
  <c r="F139" i="4"/>
  <c r="G139" i="4"/>
  <c r="H139" i="4"/>
  <c r="I139" i="4"/>
  <c r="J139" i="4"/>
  <c r="K139" i="4"/>
  <c r="A140" i="4"/>
  <c r="B140" i="4"/>
  <c r="C140" i="4"/>
  <c r="D140" i="4"/>
  <c r="E140" i="4"/>
  <c r="F140" i="4"/>
  <c r="G140" i="4"/>
  <c r="H140" i="4"/>
  <c r="I140" i="4"/>
  <c r="J140" i="4"/>
  <c r="K140" i="4"/>
  <c r="A141" i="4"/>
  <c r="B141" i="4"/>
  <c r="C141" i="4"/>
  <c r="D141" i="4"/>
  <c r="E141" i="4"/>
  <c r="F141" i="4"/>
  <c r="G141" i="4"/>
  <c r="H141" i="4"/>
  <c r="I141" i="4"/>
  <c r="J141" i="4"/>
  <c r="K141" i="4"/>
  <c r="A142" i="4"/>
  <c r="B142" i="4"/>
  <c r="C142" i="4"/>
  <c r="D142" i="4"/>
  <c r="E142" i="4"/>
  <c r="F142" i="4"/>
  <c r="G142" i="4"/>
  <c r="H142" i="4"/>
  <c r="I142" i="4"/>
  <c r="J142" i="4"/>
  <c r="K142" i="4"/>
  <c r="A143" i="4"/>
  <c r="B143" i="4"/>
  <c r="C143" i="4"/>
  <c r="D143" i="4"/>
  <c r="E143" i="4"/>
  <c r="F143" i="4"/>
  <c r="G143" i="4"/>
  <c r="H143" i="4"/>
  <c r="I143" i="4"/>
  <c r="J143" i="4"/>
  <c r="K143" i="4"/>
  <c r="A144" i="4"/>
  <c r="B144" i="4"/>
  <c r="C144" i="4"/>
  <c r="D144" i="4"/>
  <c r="E144" i="4"/>
  <c r="F144" i="4"/>
  <c r="G144" i="4"/>
  <c r="H144" i="4"/>
  <c r="I144" i="4"/>
  <c r="J144" i="4"/>
  <c r="K144" i="4"/>
  <c r="A145" i="4"/>
  <c r="B145" i="4"/>
  <c r="C145" i="4"/>
  <c r="D145" i="4"/>
  <c r="E145" i="4"/>
  <c r="F145" i="4"/>
  <c r="G145" i="4"/>
  <c r="H145" i="4"/>
  <c r="I145" i="4"/>
  <c r="J145" i="4"/>
  <c r="K145" i="4"/>
  <c r="A146" i="4"/>
  <c r="B146" i="4"/>
  <c r="C146" i="4"/>
  <c r="D146" i="4"/>
  <c r="E146" i="4"/>
  <c r="F146" i="4"/>
  <c r="G146" i="4"/>
  <c r="H146" i="4"/>
  <c r="I146" i="4"/>
  <c r="J146" i="4"/>
  <c r="K146" i="4"/>
  <c r="A147" i="4"/>
  <c r="B147" i="4"/>
  <c r="C147" i="4"/>
  <c r="D147" i="4"/>
  <c r="E147" i="4"/>
  <c r="F147" i="4"/>
  <c r="G147" i="4"/>
  <c r="H147" i="4"/>
  <c r="I147" i="4"/>
  <c r="J147" i="4"/>
  <c r="K147" i="4"/>
  <c r="A148" i="4"/>
  <c r="B148" i="4"/>
  <c r="C148" i="4"/>
  <c r="D148" i="4"/>
  <c r="E148" i="4"/>
  <c r="F148" i="4"/>
  <c r="G148" i="4"/>
  <c r="H148" i="4"/>
  <c r="I148" i="4"/>
  <c r="J148" i="4"/>
  <c r="K148" i="4"/>
  <c r="A149" i="4"/>
  <c r="B149" i="4"/>
  <c r="C149" i="4"/>
  <c r="D149" i="4"/>
  <c r="E149" i="4"/>
  <c r="F149" i="4"/>
  <c r="G149" i="4"/>
  <c r="H149" i="4"/>
  <c r="I149" i="4"/>
  <c r="J149" i="4"/>
  <c r="K149" i="4"/>
  <c r="A150" i="4"/>
  <c r="B150" i="4"/>
  <c r="C150" i="4"/>
  <c r="D150" i="4"/>
  <c r="E150" i="4"/>
  <c r="F150" i="4"/>
  <c r="G150" i="4"/>
  <c r="H150" i="4"/>
  <c r="I150" i="4"/>
  <c r="J150" i="4"/>
  <c r="K150" i="4"/>
  <c r="A151" i="4"/>
  <c r="B151" i="4"/>
  <c r="C151" i="4"/>
  <c r="D151" i="4"/>
  <c r="E151" i="4"/>
  <c r="F151" i="4"/>
  <c r="G151" i="4"/>
  <c r="H151" i="4"/>
  <c r="I151" i="4"/>
  <c r="J151" i="4"/>
  <c r="K151" i="4"/>
  <c r="A152" i="4"/>
  <c r="B152" i="4"/>
  <c r="C152" i="4"/>
  <c r="D152" i="4"/>
  <c r="E152" i="4"/>
  <c r="F152" i="4"/>
  <c r="G152" i="4"/>
  <c r="H152" i="4"/>
  <c r="I152" i="4"/>
  <c r="J152" i="4"/>
  <c r="K152" i="4"/>
  <c r="A153" i="4"/>
  <c r="B153" i="4"/>
  <c r="C153" i="4"/>
  <c r="D153" i="4"/>
  <c r="E153" i="4"/>
  <c r="F153" i="4"/>
  <c r="G153" i="4"/>
  <c r="H153" i="4"/>
  <c r="I153" i="4"/>
  <c r="J153" i="4"/>
  <c r="K153" i="4"/>
  <c r="A154" i="4"/>
  <c r="B154" i="4"/>
  <c r="C154" i="4"/>
  <c r="D154" i="4"/>
  <c r="E154" i="4"/>
  <c r="F154" i="4"/>
  <c r="G154" i="4"/>
  <c r="H154" i="4"/>
  <c r="I154" i="4"/>
  <c r="J154" i="4"/>
  <c r="K154" i="4"/>
  <c r="A155" i="4"/>
  <c r="B155" i="4"/>
  <c r="C155" i="4"/>
  <c r="D155" i="4"/>
  <c r="E155" i="4"/>
  <c r="F155" i="4"/>
  <c r="G155" i="4"/>
  <c r="H155" i="4"/>
  <c r="I155" i="4"/>
  <c r="J155" i="4"/>
  <c r="K155" i="4"/>
  <c r="B15" i="4"/>
  <c r="C15" i="4"/>
  <c r="D15" i="4"/>
  <c r="E15" i="4"/>
  <c r="F15" i="4"/>
  <c r="G15" i="4"/>
  <c r="H15" i="4"/>
  <c r="I15" i="4"/>
  <c r="J15" i="4"/>
  <c r="K15" i="4"/>
  <c r="A15" i="4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P127" i="3"/>
  <c r="Q127" i="3"/>
  <c r="R127" i="3"/>
  <c r="S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P128" i="3"/>
  <c r="Q128" i="3"/>
  <c r="R128" i="3"/>
  <c r="S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P129" i="3"/>
  <c r="Q129" i="3"/>
  <c r="R129" i="3"/>
  <c r="S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P130" i="3"/>
  <c r="Q130" i="3"/>
  <c r="R130" i="3"/>
  <c r="S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P131" i="3"/>
  <c r="Q131" i="3"/>
  <c r="R131" i="3"/>
  <c r="S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P132" i="3"/>
  <c r="Q132" i="3"/>
  <c r="R132" i="3"/>
  <c r="S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P133" i="3"/>
  <c r="Q133" i="3"/>
  <c r="R133" i="3"/>
  <c r="S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P134" i="3"/>
  <c r="Q134" i="3"/>
  <c r="R134" i="3"/>
  <c r="S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P135" i="3"/>
  <c r="Q135" i="3"/>
  <c r="R135" i="3"/>
  <c r="S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P136" i="3"/>
  <c r="Q136" i="3"/>
  <c r="R136" i="3"/>
  <c r="S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P137" i="3"/>
  <c r="Q137" i="3"/>
  <c r="R137" i="3"/>
  <c r="S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P138" i="3"/>
  <c r="Q138" i="3"/>
  <c r="R138" i="3"/>
  <c r="S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P139" i="3"/>
  <c r="Q139" i="3"/>
  <c r="R139" i="3"/>
  <c r="S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P140" i="3"/>
  <c r="Q140" i="3"/>
  <c r="R140" i="3"/>
  <c r="S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P141" i="3"/>
  <c r="Q141" i="3"/>
  <c r="R141" i="3"/>
  <c r="S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P142" i="3"/>
  <c r="Q142" i="3"/>
  <c r="R142" i="3"/>
  <c r="S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P143" i="3"/>
  <c r="Q143" i="3"/>
  <c r="R143" i="3"/>
  <c r="S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P144" i="3"/>
  <c r="Q144" i="3"/>
  <c r="R144" i="3"/>
  <c r="S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P145" i="3"/>
  <c r="Q145" i="3"/>
  <c r="R145" i="3"/>
  <c r="S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P146" i="3"/>
  <c r="Q146" i="3"/>
  <c r="R146" i="3"/>
  <c r="S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P147" i="3"/>
  <c r="Q147" i="3"/>
  <c r="R147" i="3"/>
  <c r="S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P148" i="3"/>
  <c r="Q148" i="3"/>
  <c r="R148" i="3"/>
  <c r="S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P149" i="3"/>
  <c r="Q149" i="3"/>
  <c r="R149" i="3"/>
  <c r="S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P150" i="3"/>
  <c r="Q150" i="3"/>
  <c r="R150" i="3"/>
  <c r="S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P151" i="3"/>
  <c r="Q151" i="3"/>
  <c r="R151" i="3"/>
  <c r="S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P152" i="3"/>
  <c r="Q152" i="3"/>
  <c r="R152" i="3"/>
  <c r="S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P153" i="3"/>
  <c r="Q153" i="3"/>
  <c r="R153" i="3"/>
  <c r="S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P154" i="3"/>
  <c r="Q154" i="3"/>
  <c r="R154" i="3"/>
  <c r="S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P155" i="3"/>
  <c r="Q155" i="3"/>
  <c r="R155" i="3"/>
  <c r="S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P156" i="3"/>
  <c r="Q156" i="3"/>
  <c r="R156" i="3"/>
  <c r="S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P157" i="3"/>
  <c r="Q157" i="3"/>
  <c r="R157" i="3"/>
  <c r="S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P158" i="3"/>
  <c r="Q158" i="3"/>
  <c r="R158" i="3"/>
  <c r="S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P159" i="3"/>
  <c r="Q159" i="3"/>
  <c r="R159" i="3"/>
  <c r="S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P160" i="3"/>
  <c r="Q160" i="3"/>
  <c r="R160" i="3"/>
  <c r="S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P161" i="3"/>
  <c r="Q161" i="3"/>
  <c r="R161" i="3"/>
  <c r="S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P162" i="3"/>
  <c r="Q162" i="3"/>
  <c r="R162" i="3"/>
  <c r="S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P163" i="3"/>
  <c r="Q163" i="3"/>
  <c r="R163" i="3"/>
  <c r="S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P164" i="3"/>
  <c r="Q164" i="3"/>
  <c r="R164" i="3"/>
  <c r="S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P165" i="3"/>
  <c r="Q165" i="3"/>
  <c r="R165" i="3"/>
  <c r="S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P166" i="3"/>
  <c r="Q166" i="3"/>
  <c r="R166" i="3"/>
  <c r="S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P167" i="3"/>
  <c r="Q167" i="3"/>
  <c r="R167" i="3"/>
  <c r="S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P168" i="3"/>
  <c r="Q168" i="3"/>
  <c r="R168" i="3"/>
  <c r="S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P169" i="3"/>
  <c r="Q169" i="3"/>
  <c r="R169" i="3"/>
  <c r="S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P170" i="3"/>
  <c r="Q170" i="3"/>
  <c r="R170" i="3"/>
  <c r="S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P171" i="3"/>
  <c r="Q171" i="3"/>
  <c r="R171" i="3"/>
  <c r="S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P172" i="3"/>
  <c r="Q172" i="3"/>
  <c r="R172" i="3"/>
  <c r="S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P173" i="3"/>
  <c r="Q173" i="3"/>
  <c r="R173" i="3"/>
  <c r="S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P174" i="3"/>
  <c r="Q174" i="3"/>
  <c r="R174" i="3"/>
  <c r="S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P175" i="3"/>
  <c r="Q175" i="3"/>
  <c r="R175" i="3"/>
  <c r="S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P176" i="3"/>
  <c r="Q176" i="3"/>
  <c r="R176" i="3"/>
  <c r="S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P177" i="3"/>
  <c r="Q177" i="3"/>
  <c r="R177" i="3"/>
  <c r="S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P178" i="3"/>
  <c r="Q178" i="3"/>
  <c r="R178" i="3"/>
  <c r="S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P179" i="3"/>
  <c r="Q179" i="3"/>
  <c r="R179" i="3"/>
  <c r="S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P180" i="3"/>
  <c r="Q180" i="3"/>
  <c r="R180" i="3"/>
  <c r="S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P181" i="3"/>
  <c r="Q181" i="3"/>
  <c r="R181" i="3"/>
  <c r="S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P182" i="3"/>
  <c r="Q182" i="3"/>
  <c r="R182" i="3"/>
  <c r="S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P183" i="3"/>
  <c r="Q183" i="3"/>
  <c r="R183" i="3"/>
  <c r="S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P184" i="3"/>
  <c r="Q184" i="3"/>
  <c r="R184" i="3"/>
  <c r="S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P185" i="3"/>
  <c r="Q185" i="3"/>
  <c r="R185" i="3"/>
  <c r="S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P186" i="3"/>
  <c r="Q186" i="3"/>
  <c r="R186" i="3"/>
  <c r="S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P187" i="3"/>
  <c r="Q187" i="3"/>
  <c r="R187" i="3"/>
  <c r="S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P188" i="3"/>
  <c r="Q188" i="3"/>
  <c r="R188" i="3"/>
  <c r="S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P189" i="3"/>
  <c r="Q189" i="3"/>
  <c r="R189" i="3"/>
  <c r="S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P190" i="3"/>
  <c r="Q190" i="3"/>
  <c r="R190" i="3"/>
  <c r="S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P191" i="3"/>
  <c r="Q191" i="3"/>
  <c r="R191" i="3"/>
  <c r="S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P192" i="3"/>
  <c r="Q192" i="3"/>
  <c r="R192" i="3"/>
  <c r="S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P193" i="3"/>
  <c r="Q193" i="3"/>
  <c r="R193" i="3"/>
  <c r="S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P194" i="3"/>
  <c r="Q194" i="3"/>
  <c r="R194" i="3"/>
  <c r="S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P195" i="3"/>
  <c r="Q195" i="3"/>
  <c r="R195" i="3"/>
  <c r="S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P196" i="3"/>
  <c r="Q196" i="3"/>
  <c r="R196" i="3"/>
  <c r="S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P197" i="3"/>
  <c r="Q197" i="3"/>
  <c r="R197" i="3"/>
  <c r="S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P198" i="3"/>
  <c r="Q198" i="3"/>
  <c r="R198" i="3"/>
  <c r="S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P199" i="3"/>
  <c r="Q199" i="3"/>
  <c r="R199" i="3"/>
  <c r="S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P200" i="3"/>
  <c r="Q200" i="3"/>
  <c r="R200" i="3"/>
  <c r="S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P201" i="3"/>
  <c r="Q201" i="3"/>
  <c r="R201" i="3"/>
  <c r="S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P202" i="3"/>
  <c r="Q202" i="3"/>
  <c r="R202" i="3"/>
  <c r="S202" i="3"/>
  <c r="B203" i="3"/>
  <c r="C203" i="3"/>
  <c r="D203" i="3"/>
  <c r="E203" i="3"/>
  <c r="F203" i="3"/>
  <c r="G203" i="3"/>
  <c r="H203" i="3"/>
  <c r="I203" i="3"/>
  <c r="J203" i="3"/>
  <c r="K203" i="3"/>
  <c r="L203" i="3"/>
  <c r="M203" i="3"/>
  <c r="N203" i="3"/>
  <c r="O203" i="3"/>
  <c r="P203" i="3"/>
  <c r="Q203" i="3"/>
  <c r="R203" i="3"/>
  <c r="S203" i="3"/>
  <c r="B204" i="3"/>
  <c r="C204" i="3"/>
  <c r="D204" i="3"/>
  <c r="E204" i="3"/>
  <c r="F204" i="3"/>
  <c r="G204" i="3"/>
  <c r="H204" i="3"/>
  <c r="I204" i="3"/>
  <c r="J204" i="3"/>
  <c r="K204" i="3"/>
  <c r="L204" i="3"/>
  <c r="M204" i="3"/>
  <c r="N204" i="3"/>
  <c r="O204" i="3"/>
  <c r="P204" i="3"/>
  <c r="Q204" i="3"/>
  <c r="R204" i="3"/>
  <c r="S204" i="3"/>
  <c r="B205" i="3"/>
  <c r="C205" i="3"/>
  <c r="D205" i="3"/>
  <c r="E205" i="3"/>
  <c r="F205" i="3"/>
  <c r="G205" i="3"/>
  <c r="H205" i="3"/>
  <c r="I205" i="3"/>
  <c r="J205" i="3"/>
  <c r="K205" i="3"/>
  <c r="L205" i="3"/>
  <c r="M205" i="3"/>
  <c r="N205" i="3"/>
  <c r="O205" i="3"/>
  <c r="P205" i="3"/>
  <c r="Q205" i="3"/>
  <c r="R205" i="3"/>
  <c r="S205" i="3"/>
  <c r="B206" i="3"/>
  <c r="C206" i="3"/>
  <c r="D206" i="3"/>
  <c r="E206" i="3"/>
  <c r="F206" i="3"/>
  <c r="G206" i="3"/>
  <c r="H206" i="3"/>
  <c r="I206" i="3"/>
  <c r="J206" i="3"/>
  <c r="K206" i="3"/>
  <c r="L206" i="3"/>
  <c r="M206" i="3"/>
  <c r="N206" i="3"/>
  <c r="O206" i="3"/>
  <c r="P206" i="3"/>
  <c r="Q206" i="3"/>
  <c r="R206" i="3"/>
  <c r="S206" i="3"/>
  <c r="B207" i="3"/>
  <c r="C207" i="3"/>
  <c r="D207" i="3"/>
  <c r="E207" i="3"/>
  <c r="F207" i="3"/>
  <c r="G207" i="3"/>
  <c r="H207" i="3"/>
  <c r="I207" i="3"/>
  <c r="J207" i="3"/>
  <c r="K207" i="3"/>
  <c r="L207" i="3"/>
  <c r="M207" i="3"/>
  <c r="N207" i="3"/>
  <c r="O207" i="3"/>
  <c r="P207" i="3"/>
  <c r="Q207" i="3"/>
  <c r="R207" i="3"/>
  <c r="S207" i="3"/>
  <c r="B208" i="3"/>
  <c r="C208" i="3"/>
  <c r="D208" i="3"/>
  <c r="E208" i="3"/>
  <c r="F208" i="3"/>
  <c r="G208" i="3"/>
  <c r="H208" i="3"/>
  <c r="I208" i="3"/>
  <c r="J208" i="3"/>
  <c r="K208" i="3"/>
  <c r="L208" i="3"/>
  <c r="M208" i="3"/>
  <c r="N208" i="3"/>
  <c r="O208" i="3"/>
  <c r="P208" i="3"/>
  <c r="Q208" i="3"/>
  <c r="R208" i="3"/>
  <c r="S208" i="3"/>
  <c r="B209" i="3"/>
  <c r="C209" i="3"/>
  <c r="D209" i="3"/>
  <c r="E209" i="3"/>
  <c r="F209" i="3"/>
  <c r="G209" i="3"/>
  <c r="H209" i="3"/>
  <c r="I209" i="3"/>
  <c r="J209" i="3"/>
  <c r="K209" i="3"/>
  <c r="L209" i="3"/>
  <c r="M209" i="3"/>
  <c r="N209" i="3"/>
  <c r="O209" i="3"/>
  <c r="P209" i="3"/>
  <c r="Q209" i="3"/>
  <c r="R209" i="3"/>
  <c r="S209" i="3"/>
  <c r="B210" i="3"/>
  <c r="C210" i="3"/>
  <c r="D210" i="3"/>
  <c r="E210" i="3"/>
  <c r="F210" i="3"/>
  <c r="G210" i="3"/>
  <c r="H210" i="3"/>
  <c r="I210" i="3"/>
  <c r="J210" i="3"/>
  <c r="K210" i="3"/>
  <c r="L210" i="3"/>
  <c r="M210" i="3"/>
  <c r="N210" i="3"/>
  <c r="O210" i="3"/>
  <c r="P210" i="3"/>
  <c r="Q210" i="3"/>
  <c r="R210" i="3"/>
  <c r="S210" i="3"/>
  <c r="B211" i="3"/>
  <c r="C211" i="3"/>
  <c r="D211" i="3"/>
  <c r="E211" i="3"/>
  <c r="F211" i="3"/>
  <c r="G211" i="3"/>
  <c r="H211" i="3"/>
  <c r="I211" i="3"/>
  <c r="J211" i="3"/>
  <c r="K211" i="3"/>
  <c r="L211" i="3"/>
  <c r="M211" i="3"/>
  <c r="N211" i="3"/>
  <c r="O211" i="3"/>
  <c r="P211" i="3"/>
  <c r="Q211" i="3"/>
  <c r="R211" i="3"/>
  <c r="S211" i="3"/>
  <c r="B212" i="3"/>
  <c r="C212" i="3"/>
  <c r="D212" i="3"/>
  <c r="E212" i="3"/>
  <c r="F212" i="3"/>
  <c r="G212" i="3"/>
  <c r="H212" i="3"/>
  <c r="I212" i="3"/>
  <c r="J212" i="3"/>
  <c r="K212" i="3"/>
  <c r="L212" i="3"/>
  <c r="M212" i="3"/>
  <c r="N212" i="3"/>
  <c r="O212" i="3"/>
  <c r="P212" i="3"/>
  <c r="Q212" i="3"/>
  <c r="R212" i="3"/>
  <c r="S212" i="3"/>
  <c r="B213" i="3"/>
  <c r="C213" i="3"/>
  <c r="D213" i="3"/>
  <c r="E213" i="3"/>
  <c r="F213" i="3"/>
  <c r="G213" i="3"/>
  <c r="H213" i="3"/>
  <c r="I213" i="3"/>
  <c r="J213" i="3"/>
  <c r="K213" i="3"/>
  <c r="L213" i="3"/>
  <c r="M213" i="3"/>
  <c r="N213" i="3"/>
  <c r="O213" i="3"/>
  <c r="P213" i="3"/>
  <c r="Q213" i="3"/>
  <c r="R213" i="3"/>
  <c r="S213" i="3"/>
  <c r="B214" i="3"/>
  <c r="C214" i="3"/>
  <c r="D214" i="3"/>
  <c r="E214" i="3"/>
  <c r="F214" i="3"/>
  <c r="G214" i="3"/>
  <c r="H214" i="3"/>
  <c r="I214" i="3"/>
  <c r="J214" i="3"/>
  <c r="K214" i="3"/>
  <c r="L214" i="3"/>
  <c r="M214" i="3"/>
  <c r="N214" i="3"/>
  <c r="O214" i="3"/>
  <c r="P214" i="3"/>
  <c r="Q214" i="3"/>
  <c r="R214" i="3"/>
  <c r="S214" i="3"/>
  <c r="B215" i="3"/>
  <c r="C215" i="3"/>
  <c r="D215" i="3"/>
  <c r="E215" i="3"/>
  <c r="F215" i="3"/>
  <c r="G215" i="3"/>
  <c r="H215" i="3"/>
  <c r="I215" i="3"/>
  <c r="J215" i="3"/>
  <c r="K215" i="3"/>
  <c r="L215" i="3"/>
  <c r="M215" i="3"/>
  <c r="N215" i="3"/>
  <c r="O215" i="3"/>
  <c r="P215" i="3"/>
  <c r="Q215" i="3"/>
  <c r="R215" i="3"/>
  <c r="S215" i="3"/>
  <c r="B216" i="3"/>
  <c r="C216" i="3"/>
  <c r="D216" i="3"/>
  <c r="E216" i="3"/>
  <c r="F216" i="3"/>
  <c r="G216" i="3"/>
  <c r="H216" i="3"/>
  <c r="I216" i="3"/>
  <c r="J216" i="3"/>
  <c r="K216" i="3"/>
  <c r="L216" i="3"/>
  <c r="M216" i="3"/>
  <c r="N216" i="3"/>
  <c r="O216" i="3"/>
  <c r="P216" i="3"/>
  <c r="Q216" i="3"/>
  <c r="R216" i="3"/>
  <c r="S216" i="3"/>
  <c r="B217" i="3"/>
  <c r="C217" i="3"/>
  <c r="D217" i="3"/>
  <c r="E217" i="3"/>
  <c r="F217" i="3"/>
  <c r="G217" i="3"/>
  <c r="H217" i="3"/>
  <c r="I217" i="3"/>
  <c r="J217" i="3"/>
  <c r="K217" i="3"/>
  <c r="L217" i="3"/>
  <c r="M217" i="3"/>
  <c r="N217" i="3"/>
  <c r="O217" i="3"/>
  <c r="P217" i="3"/>
  <c r="Q217" i="3"/>
  <c r="R217" i="3"/>
  <c r="S217" i="3"/>
  <c r="B218" i="3"/>
  <c r="C218" i="3"/>
  <c r="D218" i="3"/>
  <c r="E218" i="3"/>
  <c r="F218" i="3"/>
  <c r="G218" i="3"/>
  <c r="H218" i="3"/>
  <c r="I218" i="3"/>
  <c r="J218" i="3"/>
  <c r="K218" i="3"/>
  <c r="L218" i="3"/>
  <c r="M218" i="3"/>
  <c r="N218" i="3"/>
  <c r="O218" i="3"/>
  <c r="P218" i="3"/>
  <c r="Q218" i="3"/>
  <c r="R218" i="3"/>
  <c r="S218" i="3"/>
  <c r="B219" i="3"/>
  <c r="C219" i="3"/>
  <c r="D219" i="3"/>
  <c r="E219" i="3"/>
  <c r="F219" i="3"/>
  <c r="G219" i="3"/>
  <c r="H219" i="3"/>
  <c r="I219" i="3"/>
  <c r="J219" i="3"/>
  <c r="K219" i="3"/>
  <c r="L219" i="3"/>
  <c r="M219" i="3"/>
  <c r="N219" i="3"/>
  <c r="O219" i="3"/>
  <c r="P219" i="3"/>
  <c r="Q219" i="3"/>
  <c r="R219" i="3"/>
  <c r="S219" i="3"/>
  <c r="B220" i="3"/>
  <c r="C220" i="3"/>
  <c r="D220" i="3"/>
  <c r="E220" i="3"/>
  <c r="F220" i="3"/>
  <c r="G220" i="3"/>
  <c r="H220" i="3"/>
  <c r="I220" i="3"/>
  <c r="J220" i="3"/>
  <c r="K220" i="3"/>
  <c r="L220" i="3"/>
  <c r="M220" i="3"/>
  <c r="N220" i="3"/>
  <c r="O220" i="3"/>
  <c r="P220" i="3"/>
  <c r="Q220" i="3"/>
  <c r="R220" i="3"/>
  <c r="S220" i="3"/>
  <c r="B221" i="3"/>
  <c r="C221" i="3"/>
  <c r="D221" i="3"/>
  <c r="E221" i="3"/>
  <c r="F221" i="3"/>
  <c r="G221" i="3"/>
  <c r="H221" i="3"/>
  <c r="I221" i="3"/>
  <c r="J221" i="3"/>
  <c r="K221" i="3"/>
  <c r="L221" i="3"/>
  <c r="M221" i="3"/>
  <c r="N221" i="3"/>
  <c r="O221" i="3"/>
  <c r="P221" i="3"/>
  <c r="Q221" i="3"/>
  <c r="R221" i="3"/>
  <c r="S221" i="3"/>
  <c r="B222" i="3"/>
  <c r="C222" i="3"/>
  <c r="D222" i="3"/>
  <c r="E222" i="3"/>
  <c r="F222" i="3"/>
  <c r="G222" i="3"/>
  <c r="H222" i="3"/>
  <c r="I222" i="3"/>
  <c r="J222" i="3"/>
  <c r="K222" i="3"/>
  <c r="L222" i="3"/>
  <c r="M222" i="3"/>
  <c r="N222" i="3"/>
  <c r="O222" i="3"/>
  <c r="P222" i="3"/>
  <c r="Q222" i="3"/>
  <c r="R222" i="3"/>
  <c r="S222" i="3"/>
  <c r="B223" i="3"/>
  <c r="C223" i="3"/>
  <c r="D223" i="3"/>
  <c r="E223" i="3"/>
  <c r="F223" i="3"/>
  <c r="G223" i="3"/>
  <c r="H223" i="3"/>
  <c r="I223" i="3"/>
  <c r="J223" i="3"/>
  <c r="K223" i="3"/>
  <c r="L223" i="3"/>
  <c r="M223" i="3"/>
  <c r="N223" i="3"/>
  <c r="O223" i="3"/>
  <c r="P223" i="3"/>
  <c r="Q223" i="3"/>
  <c r="R223" i="3"/>
  <c r="S223" i="3"/>
  <c r="B224" i="3"/>
  <c r="C224" i="3"/>
  <c r="D224" i="3"/>
  <c r="E224" i="3"/>
  <c r="F224" i="3"/>
  <c r="G224" i="3"/>
  <c r="H224" i="3"/>
  <c r="I224" i="3"/>
  <c r="J224" i="3"/>
  <c r="K224" i="3"/>
  <c r="L224" i="3"/>
  <c r="M224" i="3"/>
  <c r="N224" i="3"/>
  <c r="O224" i="3"/>
  <c r="P224" i="3"/>
  <c r="Q224" i="3"/>
  <c r="R224" i="3"/>
  <c r="S224" i="3"/>
  <c r="B225" i="3"/>
  <c r="C225" i="3"/>
  <c r="D225" i="3"/>
  <c r="E225" i="3"/>
  <c r="F225" i="3"/>
  <c r="G225" i="3"/>
  <c r="H225" i="3"/>
  <c r="I225" i="3"/>
  <c r="J225" i="3"/>
  <c r="K225" i="3"/>
  <c r="L225" i="3"/>
  <c r="M225" i="3"/>
  <c r="N225" i="3"/>
  <c r="O225" i="3"/>
  <c r="P225" i="3"/>
  <c r="Q225" i="3"/>
  <c r="R225" i="3"/>
  <c r="S225" i="3"/>
  <c r="B226" i="3"/>
  <c r="C226" i="3"/>
  <c r="D226" i="3"/>
  <c r="E226" i="3"/>
  <c r="F226" i="3"/>
  <c r="G226" i="3"/>
  <c r="H226" i="3"/>
  <c r="I226" i="3"/>
  <c r="J226" i="3"/>
  <c r="K226" i="3"/>
  <c r="L226" i="3"/>
  <c r="M226" i="3"/>
  <c r="N226" i="3"/>
  <c r="O226" i="3"/>
  <c r="P226" i="3"/>
  <c r="Q226" i="3"/>
  <c r="R226" i="3"/>
  <c r="S226" i="3"/>
  <c r="B227" i="3"/>
  <c r="C227" i="3"/>
  <c r="D227" i="3"/>
  <c r="E227" i="3"/>
  <c r="F227" i="3"/>
  <c r="G227" i="3"/>
  <c r="H227" i="3"/>
  <c r="I227" i="3"/>
  <c r="J227" i="3"/>
  <c r="K227" i="3"/>
  <c r="L227" i="3"/>
  <c r="M227" i="3"/>
  <c r="N227" i="3"/>
  <c r="O227" i="3"/>
  <c r="P227" i="3"/>
  <c r="Q227" i="3"/>
  <c r="R227" i="3"/>
  <c r="S227" i="3"/>
  <c r="B228" i="3"/>
  <c r="C228" i="3"/>
  <c r="D228" i="3"/>
  <c r="E228" i="3"/>
  <c r="F228" i="3"/>
  <c r="G228" i="3"/>
  <c r="H228" i="3"/>
  <c r="I228" i="3"/>
  <c r="J228" i="3"/>
  <c r="K228" i="3"/>
  <c r="L228" i="3"/>
  <c r="M228" i="3"/>
  <c r="N228" i="3"/>
  <c r="O228" i="3"/>
  <c r="P228" i="3"/>
  <c r="Q228" i="3"/>
  <c r="R228" i="3"/>
  <c r="S228" i="3"/>
  <c r="B229" i="3"/>
  <c r="C229" i="3"/>
  <c r="D229" i="3"/>
  <c r="E229" i="3"/>
  <c r="F229" i="3"/>
  <c r="G229" i="3"/>
  <c r="H229" i="3"/>
  <c r="I229" i="3"/>
  <c r="J229" i="3"/>
  <c r="K229" i="3"/>
  <c r="L229" i="3"/>
  <c r="M229" i="3"/>
  <c r="N229" i="3"/>
  <c r="O229" i="3"/>
  <c r="P229" i="3"/>
  <c r="Q229" i="3"/>
  <c r="R229" i="3"/>
  <c r="S229" i="3"/>
  <c r="B230" i="3"/>
  <c r="C230" i="3"/>
  <c r="D230" i="3"/>
  <c r="E230" i="3"/>
  <c r="F230" i="3"/>
  <c r="G230" i="3"/>
  <c r="H230" i="3"/>
  <c r="I230" i="3"/>
  <c r="J230" i="3"/>
  <c r="K230" i="3"/>
  <c r="L230" i="3"/>
  <c r="M230" i="3"/>
  <c r="N230" i="3"/>
  <c r="O230" i="3"/>
  <c r="P230" i="3"/>
  <c r="Q230" i="3"/>
  <c r="R230" i="3"/>
  <c r="S230" i="3"/>
  <c r="B231" i="3"/>
  <c r="C231" i="3"/>
  <c r="D231" i="3"/>
  <c r="E231" i="3"/>
  <c r="F231" i="3"/>
  <c r="G231" i="3"/>
  <c r="H231" i="3"/>
  <c r="I231" i="3"/>
  <c r="J231" i="3"/>
  <c r="K231" i="3"/>
  <c r="L231" i="3"/>
  <c r="M231" i="3"/>
  <c r="N231" i="3"/>
  <c r="O231" i="3"/>
  <c r="P231" i="3"/>
  <c r="Q231" i="3"/>
  <c r="R231" i="3"/>
  <c r="S231" i="3"/>
  <c r="B232" i="3"/>
  <c r="C232" i="3"/>
  <c r="D232" i="3"/>
  <c r="E232" i="3"/>
  <c r="F232" i="3"/>
  <c r="G232" i="3"/>
  <c r="H232" i="3"/>
  <c r="I232" i="3"/>
  <c r="J232" i="3"/>
  <c r="K232" i="3"/>
  <c r="L232" i="3"/>
  <c r="M232" i="3"/>
  <c r="N232" i="3"/>
  <c r="O232" i="3"/>
  <c r="P232" i="3"/>
  <c r="Q232" i="3"/>
  <c r="R232" i="3"/>
  <c r="S232" i="3"/>
  <c r="B233" i="3"/>
  <c r="C233" i="3"/>
  <c r="D233" i="3"/>
  <c r="E233" i="3"/>
  <c r="F233" i="3"/>
  <c r="G233" i="3"/>
  <c r="H233" i="3"/>
  <c r="I233" i="3"/>
  <c r="J233" i="3"/>
  <c r="K233" i="3"/>
  <c r="L233" i="3"/>
  <c r="M233" i="3"/>
  <c r="N233" i="3"/>
  <c r="O233" i="3"/>
  <c r="P233" i="3"/>
  <c r="Q233" i="3"/>
  <c r="R233" i="3"/>
  <c r="S233" i="3"/>
  <c r="B234" i="3"/>
  <c r="C234" i="3"/>
  <c r="D234" i="3"/>
  <c r="E234" i="3"/>
  <c r="F234" i="3"/>
  <c r="G234" i="3"/>
  <c r="H234" i="3"/>
  <c r="I234" i="3"/>
  <c r="J234" i="3"/>
  <c r="K234" i="3"/>
  <c r="L234" i="3"/>
  <c r="M234" i="3"/>
  <c r="N234" i="3"/>
  <c r="O234" i="3"/>
  <c r="P234" i="3"/>
  <c r="Q234" i="3"/>
  <c r="R234" i="3"/>
  <c r="S234" i="3"/>
  <c r="B235" i="3"/>
  <c r="C235" i="3"/>
  <c r="D235" i="3"/>
  <c r="E235" i="3"/>
  <c r="F235" i="3"/>
  <c r="G235" i="3"/>
  <c r="H235" i="3"/>
  <c r="I235" i="3"/>
  <c r="J235" i="3"/>
  <c r="K235" i="3"/>
  <c r="L235" i="3"/>
  <c r="M235" i="3"/>
  <c r="N235" i="3"/>
  <c r="O235" i="3"/>
  <c r="P235" i="3"/>
  <c r="Q235" i="3"/>
  <c r="R235" i="3"/>
  <c r="S235" i="3"/>
  <c r="B236" i="3"/>
  <c r="C236" i="3"/>
  <c r="D236" i="3"/>
  <c r="E236" i="3"/>
  <c r="F236" i="3"/>
  <c r="G236" i="3"/>
  <c r="H236" i="3"/>
  <c r="I236" i="3"/>
  <c r="J236" i="3"/>
  <c r="K236" i="3"/>
  <c r="L236" i="3"/>
  <c r="M236" i="3"/>
  <c r="N236" i="3"/>
  <c r="O236" i="3"/>
  <c r="P236" i="3"/>
  <c r="Q236" i="3"/>
  <c r="R236" i="3"/>
  <c r="S236" i="3"/>
  <c r="B237" i="3"/>
  <c r="C237" i="3"/>
  <c r="D237" i="3"/>
  <c r="E237" i="3"/>
  <c r="F237" i="3"/>
  <c r="G237" i="3"/>
  <c r="H237" i="3"/>
  <c r="I237" i="3"/>
  <c r="J237" i="3"/>
  <c r="K237" i="3"/>
  <c r="L237" i="3"/>
  <c r="M237" i="3"/>
  <c r="N237" i="3"/>
  <c r="O237" i="3"/>
  <c r="P237" i="3"/>
  <c r="Q237" i="3"/>
  <c r="R237" i="3"/>
  <c r="S237" i="3"/>
  <c r="B238" i="3"/>
  <c r="C238" i="3"/>
  <c r="D238" i="3"/>
  <c r="E238" i="3"/>
  <c r="F238" i="3"/>
  <c r="G238" i="3"/>
  <c r="H238" i="3"/>
  <c r="I238" i="3"/>
  <c r="J238" i="3"/>
  <c r="K238" i="3"/>
  <c r="L238" i="3"/>
  <c r="M238" i="3"/>
  <c r="N238" i="3"/>
  <c r="O238" i="3"/>
  <c r="P238" i="3"/>
  <c r="Q238" i="3"/>
  <c r="R238" i="3"/>
  <c r="S238" i="3"/>
  <c r="B239" i="3"/>
  <c r="C239" i="3"/>
  <c r="D239" i="3"/>
  <c r="E239" i="3"/>
  <c r="F239" i="3"/>
  <c r="G239" i="3"/>
  <c r="H239" i="3"/>
  <c r="I239" i="3"/>
  <c r="J239" i="3"/>
  <c r="K239" i="3"/>
  <c r="L239" i="3"/>
  <c r="M239" i="3"/>
  <c r="N239" i="3"/>
  <c r="O239" i="3"/>
  <c r="P239" i="3"/>
  <c r="Q239" i="3"/>
  <c r="R239" i="3"/>
  <c r="S239" i="3"/>
  <c r="B240" i="3"/>
  <c r="C240" i="3"/>
  <c r="D240" i="3"/>
  <c r="E240" i="3"/>
  <c r="F240" i="3"/>
  <c r="G240" i="3"/>
  <c r="H240" i="3"/>
  <c r="I240" i="3"/>
  <c r="J240" i="3"/>
  <c r="K240" i="3"/>
  <c r="L240" i="3"/>
  <c r="M240" i="3"/>
  <c r="N240" i="3"/>
  <c r="O240" i="3"/>
  <c r="P240" i="3"/>
  <c r="Q240" i="3"/>
  <c r="R240" i="3"/>
  <c r="S240" i="3"/>
  <c r="B241" i="3"/>
  <c r="C241" i="3"/>
  <c r="D241" i="3"/>
  <c r="E241" i="3"/>
  <c r="F241" i="3"/>
  <c r="G241" i="3"/>
  <c r="H241" i="3"/>
  <c r="I241" i="3"/>
  <c r="J241" i="3"/>
  <c r="K241" i="3"/>
  <c r="L241" i="3"/>
  <c r="M241" i="3"/>
  <c r="N241" i="3"/>
  <c r="O241" i="3"/>
  <c r="P241" i="3"/>
  <c r="Q241" i="3"/>
  <c r="R241" i="3"/>
  <c r="S241" i="3"/>
  <c r="B242" i="3"/>
  <c r="C242" i="3"/>
  <c r="D242" i="3"/>
  <c r="E242" i="3"/>
  <c r="F242" i="3"/>
  <c r="G242" i="3"/>
  <c r="H242" i="3"/>
  <c r="I242" i="3"/>
  <c r="J242" i="3"/>
  <c r="K242" i="3"/>
  <c r="L242" i="3"/>
  <c r="M242" i="3"/>
  <c r="N242" i="3"/>
  <c r="O242" i="3"/>
  <c r="P242" i="3"/>
  <c r="Q242" i="3"/>
  <c r="R242" i="3"/>
  <c r="S242" i="3"/>
  <c r="B243" i="3"/>
  <c r="C243" i="3"/>
  <c r="D243" i="3"/>
  <c r="E243" i="3"/>
  <c r="F243" i="3"/>
  <c r="G243" i="3"/>
  <c r="H243" i="3"/>
  <c r="I243" i="3"/>
  <c r="J243" i="3"/>
  <c r="K243" i="3"/>
  <c r="L243" i="3"/>
  <c r="M243" i="3"/>
  <c r="N243" i="3"/>
  <c r="O243" i="3"/>
  <c r="P243" i="3"/>
  <c r="Q243" i="3"/>
  <c r="R243" i="3"/>
  <c r="S243" i="3"/>
  <c r="B244" i="3"/>
  <c r="C244" i="3"/>
  <c r="D244" i="3"/>
  <c r="E244" i="3"/>
  <c r="F244" i="3"/>
  <c r="G244" i="3"/>
  <c r="H244" i="3"/>
  <c r="I244" i="3"/>
  <c r="J244" i="3"/>
  <c r="K244" i="3"/>
  <c r="L244" i="3"/>
  <c r="M244" i="3"/>
  <c r="N244" i="3"/>
  <c r="O244" i="3"/>
  <c r="P244" i="3"/>
  <c r="Q244" i="3"/>
  <c r="R244" i="3"/>
  <c r="S244" i="3"/>
  <c r="B245" i="3"/>
  <c r="C245" i="3"/>
  <c r="D245" i="3"/>
  <c r="E245" i="3"/>
  <c r="F245" i="3"/>
  <c r="G245" i="3"/>
  <c r="H245" i="3"/>
  <c r="I245" i="3"/>
  <c r="J245" i="3"/>
  <c r="K245" i="3"/>
  <c r="L245" i="3"/>
  <c r="M245" i="3"/>
  <c r="N245" i="3"/>
  <c r="O245" i="3"/>
  <c r="P245" i="3"/>
  <c r="Q245" i="3"/>
  <c r="R245" i="3"/>
  <c r="S245" i="3"/>
  <c r="B246" i="3"/>
  <c r="C246" i="3"/>
  <c r="D246" i="3"/>
  <c r="E246" i="3"/>
  <c r="F246" i="3"/>
  <c r="G246" i="3"/>
  <c r="H246" i="3"/>
  <c r="I246" i="3"/>
  <c r="J246" i="3"/>
  <c r="K246" i="3"/>
  <c r="L246" i="3"/>
  <c r="M246" i="3"/>
  <c r="N246" i="3"/>
  <c r="O246" i="3"/>
  <c r="P246" i="3"/>
  <c r="Q246" i="3"/>
  <c r="R246" i="3"/>
  <c r="S246" i="3"/>
  <c r="B247" i="3"/>
  <c r="C247" i="3"/>
  <c r="D247" i="3"/>
  <c r="E247" i="3"/>
  <c r="F247" i="3"/>
  <c r="G247" i="3"/>
  <c r="H247" i="3"/>
  <c r="I247" i="3"/>
  <c r="J247" i="3"/>
  <c r="K247" i="3"/>
  <c r="L247" i="3"/>
  <c r="M247" i="3"/>
  <c r="N247" i="3"/>
  <c r="O247" i="3"/>
  <c r="P247" i="3"/>
  <c r="Q247" i="3"/>
  <c r="R247" i="3"/>
  <c r="S247" i="3"/>
  <c r="B248" i="3"/>
  <c r="C248" i="3"/>
  <c r="D248" i="3"/>
  <c r="E248" i="3"/>
  <c r="F248" i="3"/>
  <c r="G248" i="3"/>
  <c r="H248" i="3"/>
  <c r="I248" i="3"/>
  <c r="J248" i="3"/>
  <c r="K248" i="3"/>
  <c r="L248" i="3"/>
  <c r="M248" i="3"/>
  <c r="N248" i="3"/>
  <c r="O248" i="3"/>
  <c r="P248" i="3"/>
  <c r="Q248" i="3"/>
  <c r="R248" i="3"/>
  <c r="S248" i="3"/>
  <c r="B249" i="3"/>
  <c r="C249" i="3"/>
  <c r="D249" i="3"/>
  <c r="E249" i="3"/>
  <c r="F249" i="3"/>
  <c r="G249" i="3"/>
  <c r="H249" i="3"/>
  <c r="I249" i="3"/>
  <c r="J249" i="3"/>
  <c r="K249" i="3"/>
  <c r="L249" i="3"/>
  <c r="M249" i="3"/>
  <c r="N249" i="3"/>
  <c r="O249" i="3"/>
  <c r="P249" i="3"/>
  <c r="Q249" i="3"/>
  <c r="R249" i="3"/>
  <c r="S249" i="3"/>
  <c r="B250" i="3"/>
  <c r="C250" i="3"/>
  <c r="D250" i="3"/>
  <c r="E250" i="3"/>
  <c r="F250" i="3"/>
  <c r="G250" i="3"/>
  <c r="H250" i="3"/>
  <c r="I250" i="3"/>
  <c r="J250" i="3"/>
  <c r="K250" i="3"/>
  <c r="L250" i="3"/>
  <c r="M250" i="3"/>
  <c r="N250" i="3"/>
  <c r="O250" i="3"/>
  <c r="P250" i="3"/>
  <c r="Q250" i="3"/>
  <c r="R250" i="3"/>
  <c r="S250" i="3"/>
  <c r="B251" i="3"/>
  <c r="C251" i="3"/>
  <c r="D251" i="3"/>
  <c r="E251" i="3"/>
  <c r="F251" i="3"/>
  <c r="G251" i="3"/>
  <c r="H251" i="3"/>
  <c r="I251" i="3"/>
  <c r="J251" i="3"/>
  <c r="K251" i="3"/>
  <c r="L251" i="3"/>
  <c r="M251" i="3"/>
  <c r="N251" i="3"/>
  <c r="O251" i="3"/>
  <c r="P251" i="3"/>
  <c r="Q251" i="3"/>
  <c r="R251" i="3"/>
  <c r="S251" i="3"/>
  <c r="B252" i="3"/>
  <c r="C252" i="3"/>
  <c r="D252" i="3"/>
  <c r="E252" i="3"/>
  <c r="F252" i="3"/>
  <c r="G252" i="3"/>
  <c r="H252" i="3"/>
  <c r="I252" i="3"/>
  <c r="J252" i="3"/>
  <c r="K252" i="3"/>
  <c r="L252" i="3"/>
  <c r="M252" i="3"/>
  <c r="N252" i="3"/>
  <c r="O252" i="3"/>
  <c r="P252" i="3"/>
  <c r="Q252" i="3"/>
  <c r="R252" i="3"/>
  <c r="S252" i="3"/>
  <c r="B253" i="3"/>
  <c r="C253" i="3"/>
  <c r="D253" i="3"/>
  <c r="E253" i="3"/>
  <c r="F253" i="3"/>
  <c r="G253" i="3"/>
  <c r="H253" i="3"/>
  <c r="I253" i="3"/>
  <c r="J253" i="3"/>
  <c r="K253" i="3"/>
  <c r="L253" i="3"/>
  <c r="M253" i="3"/>
  <c r="N253" i="3"/>
  <c r="O253" i="3"/>
  <c r="P253" i="3"/>
  <c r="Q253" i="3"/>
  <c r="R253" i="3"/>
  <c r="S253" i="3"/>
  <c r="B254" i="3"/>
  <c r="C254" i="3"/>
  <c r="D254" i="3"/>
  <c r="E254" i="3"/>
  <c r="F254" i="3"/>
  <c r="G254" i="3"/>
  <c r="H254" i="3"/>
  <c r="I254" i="3"/>
  <c r="J254" i="3"/>
  <c r="K254" i="3"/>
  <c r="L254" i="3"/>
  <c r="M254" i="3"/>
  <c r="N254" i="3"/>
  <c r="O254" i="3"/>
  <c r="P254" i="3"/>
  <c r="Q254" i="3"/>
  <c r="R254" i="3"/>
  <c r="S254" i="3"/>
  <c r="B255" i="3"/>
  <c r="C255" i="3"/>
  <c r="D255" i="3"/>
  <c r="E255" i="3"/>
  <c r="F255" i="3"/>
  <c r="G255" i="3"/>
  <c r="H255" i="3"/>
  <c r="I255" i="3"/>
  <c r="J255" i="3"/>
  <c r="K255" i="3"/>
  <c r="L255" i="3"/>
  <c r="M255" i="3"/>
  <c r="N255" i="3"/>
  <c r="O255" i="3"/>
  <c r="P255" i="3"/>
  <c r="Q255" i="3"/>
  <c r="R255" i="3"/>
  <c r="S255" i="3"/>
  <c r="B256" i="3"/>
  <c r="C256" i="3"/>
  <c r="D256" i="3"/>
  <c r="E256" i="3"/>
  <c r="F256" i="3"/>
  <c r="G256" i="3"/>
  <c r="H256" i="3"/>
  <c r="I256" i="3"/>
  <c r="J256" i="3"/>
  <c r="K256" i="3"/>
  <c r="L256" i="3"/>
  <c r="M256" i="3"/>
  <c r="N256" i="3"/>
  <c r="O256" i="3"/>
  <c r="P256" i="3"/>
  <c r="Q256" i="3"/>
  <c r="R256" i="3"/>
  <c r="S256" i="3"/>
  <c r="B257" i="3"/>
  <c r="C257" i="3"/>
  <c r="D257" i="3"/>
  <c r="E257" i="3"/>
  <c r="F257" i="3"/>
  <c r="G257" i="3"/>
  <c r="H257" i="3"/>
  <c r="I257" i="3"/>
  <c r="J257" i="3"/>
  <c r="K257" i="3"/>
  <c r="L257" i="3"/>
  <c r="M257" i="3"/>
  <c r="N257" i="3"/>
  <c r="O257" i="3"/>
  <c r="P257" i="3"/>
  <c r="Q257" i="3"/>
  <c r="R257" i="3"/>
  <c r="S257" i="3"/>
  <c r="B258" i="3"/>
  <c r="C258" i="3"/>
  <c r="D258" i="3"/>
  <c r="E258" i="3"/>
  <c r="F258" i="3"/>
  <c r="G258" i="3"/>
  <c r="H258" i="3"/>
  <c r="I258" i="3"/>
  <c r="J258" i="3"/>
  <c r="K258" i="3"/>
  <c r="L258" i="3"/>
  <c r="M258" i="3"/>
  <c r="N258" i="3"/>
  <c r="O258" i="3"/>
  <c r="P258" i="3"/>
  <c r="Q258" i="3"/>
  <c r="R258" i="3"/>
  <c r="S258" i="3"/>
  <c r="B259" i="3"/>
  <c r="C259" i="3"/>
  <c r="D259" i="3"/>
  <c r="E259" i="3"/>
  <c r="F259" i="3"/>
  <c r="G259" i="3"/>
  <c r="H259" i="3"/>
  <c r="I259" i="3"/>
  <c r="J259" i="3"/>
  <c r="K259" i="3"/>
  <c r="L259" i="3"/>
  <c r="M259" i="3"/>
  <c r="N259" i="3"/>
  <c r="O259" i="3"/>
  <c r="P259" i="3"/>
  <c r="Q259" i="3"/>
  <c r="R259" i="3"/>
  <c r="S259" i="3"/>
  <c r="B260" i="3"/>
  <c r="C260" i="3"/>
  <c r="D260" i="3"/>
  <c r="E260" i="3"/>
  <c r="F260" i="3"/>
  <c r="G260" i="3"/>
  <c r="H260" i="3"/>
  <c r="I260" i="3"/>
  <c r="J260" i="3"/>
  <c r="K260" i="3"/>
  <c r="L260" i="3"/>
  <c r="M260" i="3"/>
  <c r="N260" i="3"/>
  <c r="O260" i="3"/>
  <c r="P260" i="3"/>
  <c r="Q260" i="3"/>
  <c r="R260" i="3"/>
  <c r="S260" i="3"/>
  <c r="B261" i="3"/>
  <c r="C261" i="3"/>
  <c r="D261" i="3"/>
  <c r="E261" i="3"/>
  <c r="F261" i="3"/>
  <c r="G261" i="3"/>
  <c r="H261" i="3"/>
  <c r="I261" i="3"/>
  <c r="J261" i="3"/>
  <c r="K261" i="3"/>
  <c r="L261" i="3"/>
  <c r="M261" i="3"/>
  <c r="N261" i="3"/>
  <c r="O261" i="3"/>
  <c r="P261" i="3"/>
  <c r="Q261" i="3"/>
  <c r="R261" i="3"/>
  <c r="S261" i="3"/>
  <c r="B262" i="3"/>
  <c r="C262" i="3"/>
  <c r="D262" i="3"/>
  <c r="E262" i="3"/>
  <c r="F262" i="3"/>
  <c r="G262" i="3"/>
  <c r="H262" i="3"/>
  <c r="I262" i="3"/>
  <c r="J262" i="3"/>
  <c r="K262" i="3"/>
  <c r="L262" i="3"/>
  <c r="M262" i="3"/>
  <c r="N262" i="3"/>
  <c r="O262" i="3"/>
  <c r="P262" i="3"/>
  <c r="Q262" i="3"/>
  <c r="R262" i="3"/>
  <c r="S262" i="3"/>
  <c r="B263" i="3"/>
  <c r="C263" i="3"/>
  <c r="D263" i="3"/>
  <c r="E263" i="3"/>
  <c r="F263" i="3"/>
  <c r="G263" i="3"/>
  <c r="H263" i="3"/>
  <c r="I263" i="3"/>
  <c r="J263" i="3"/>
  <c r="K263" i="3"/>
  <c r="L263" i="3"/>
  <c r="M263" i="3"/>
  <c r="N263" i="3"/>
  <c r="O263" i="3"/>
  <c r="P263" i="3"/>
  <c r="Q263" i="3"/>
  <c r="R263" i="3"/>
  <c r="S263" i="3"/>
  <c r="B264" i="3"/>
  <c r="C264" i="3"/>
  <c r="D264" i="3"/>
  <c r="E264" i="3"/>
  <c r="F264" i="3"/>
  <c r="G264" i="3"/>
  <c r="H264" i="3"/>
  <c r="I264" i="3"/>
  <c r="J264" i="3"/>
  <c r="K264" i="3"/>
  <c r="L264" i="3"/>
  <c r="M264" i="3"/>
  <c r="N264" i="3"/>
  <c r="O264" i="3"/>
  <c r="P264" i="3"/>
  <c r="Q264" i="3"/>
  <c r="R264" i="3"/>
  <c r="S264" i="3"/>
  <c r="B265" i="3"/>
  <c r="C265" i="3"/>
  <c r="D265" i="3"/>
  <c r="E265" i="3"/>
  <c r="F265" i="3"/>
  <c r="G265" i="3"/>
  <c r="H265" i="3"/>
  <c r="I265" i="3"/>
  <c r="J265" i="3"/>
  <c r="K265" i="3"/>
  <c r="L265" i="3"/>
  <c r="M265" i="3"/>
  <c r="N265" i="3"/>
  <c r="O265" i="3"/>
  <c r="P265" i="3"/>
  <c r="Q265" i="3"/>
  <c r="R265" i="3"/>
  <c r="S265" i="3"/>
  <c r="B266" i="3"/>
  <c r="C266" i="3"/>
  <c r="D266" i="3"/>
  <c r="E266" i="3"/>
  <c r="F266" i="3"/>
  <c r="G266" i="3"/>
  <c r="H266" i="3"/>
  <c r="I266" i="3"/>
  <c r="J266" i="3"/>
  <c r="K266" i="3"/>
  <c r="L266" i="3"/>
  <c r="M266" i="3"/>
  <c r="N266" i="3"/>
  <c r="O266" i="3"/>
  <c r="P266" i="3"/>
  <c r="Q266" i="3"/>
  <c r="R266" i="3"/>
  <c r="S266" i="3"/>
  <c r="B267" i="3"/>
  <c r="C267" i="3"/>
  <c r="D267" i="3"/>
  <c r="E267" i="3"/>
  <c r="F267" i="3"/>
  <c r="G267" i="3"/>
  <c r="H267" i="3"/>
  <c r="I267" i="3"/>
  <c r="J267" i="3"/>
  <c r="K267" i="3"/>
  <c r="L267" i="3"/>
  <c r="M267" i="3"/>
  <c r="N267" i="3"/>
  <c r="O267" i="3"/>
  <c r="P267" i="3"/>
  <c r="Q267" i="3"/>
  <c r="R267" i="3"/>
  <c r="S267" i="3"/>
  <c r="B268" i="3"/>
  <c r="C268" i="3"/>
  <c r="D268" i="3"/>
  <c r="E268" i="3"/>
  <c r="F268" i="3"/>
  <c r="G268" i="3"/>
  <c r="H268" i="3"/>
  <c r="I268" i="3"/>
  <c r="J268" i="3"/>
  <c r="K268" i="3"/>
  <c r="L268" i="3"/>
  <c r="M268" i="3"/>
  <c r="N268" i="3"/>
  <c r="O268" i="3"/>
  <c r="P268" i="3"/>
  <c r="Q268" i="3"/>
  <c r="R268" i="3"/>
  <c r="S268" i="3"/>
  <c r="B269" i="3"/>
  <c r="C269" i="3"/>
  <c r="D269" i="3"/>
  <c r="E269" i="3"/>
  <c r="F269" i="3"/>
  <c r="G269" i="3"/>
  <c r="H269" i="3"/>
  <c r="I269" i="3"/>
  <c r="J269" i="3"/>
  <c r="K269" i="3"/>
  <c r="L269" i="3"/>
  <c r="M269" i="3"/>
  <c r="N269" i="3"/>
  <c r="O269" i="3"/>
  <c r="P269" i="3"/>
  <c r="Q269" i="3"/>
  <c r="R269" i="3"/>
  <c r="S269" i="3"/>
  <c r="B270" i="3"/>
  <c r="C270" i="3"/>
  <c r="D270" i="3"/>
  <c r="E270" i="3"/>
  <c r="F270" i="3"/>
  <c r="G270" i="3"/>
  <c r="H270" i="3"/>
  <c r="I270" i="3"/>
  <c r="J270" i="3"/>
  <c r="K270" i="3"/>
  <c r="L270" i="3"/>
  <c r="M270" i="3"/>
  <c r="N270" i="3"/>
  <c r="O270" i="3"/>
  <c r="P270" i="3"/>
  <c r="Q270" i="3"/>
  <c r="R270" i="3"/>
  <c r="S270" i="3"/>
  <c r="B271" i="3"/>
  <c r="C271" i="3"/>
  <c r="D271" i="3"/>
  <c r="E271" i="3"/>
  <c r="F271" i="3"/>
  <c r="G271" i="3"/>
  <c r="H271" i="3"/>
  <c r="I271" i="3"/>
  <c r="J271" i="3"/>
  <c r="K271" i="3"/>
  <c r="L271" i="3"/>
  <c r="M271" i="3"/>
  <c r="N271" i="3"/>
  <c r="O271" i="3"/>
  <c r="P271" i="3"/>
  <c r="Q271" i="3"/>
  <c r="R271" i="3"/>
  <c r="S271" i="3"/>
  <c r="B272" i="3"/>
  <c r="C272" i="3"/>
  <c r="D272" i="3"/>
  <c r="E272" i="3"/>
  <c r="F272" i="3"/>
  <c r="G272" i="3"/>
  <c r="H272" i="3"/>
  <c r="I272" i="3"/>
  <c r="J272" i="3"/>
  <c r="K272" i="3"/>
  <c r="L272" i="3"/>
  <c r="M272" i="3"/>
  <c r="N272" i="3"/>
  <c r="O272" i="3"/>
  <c r="P272" i="3"/>
  <c r="Q272" i="3"/>
  <c r="R272" i="3"/>
  <c r="S272" i="3"/>
  <c r="B273" i="3"/>
  <c r="C273" i="3"/>
  <c r="D273" i="3"/>
  <c r="E273" i="3"/>
  <c r="F273" i="3"/>
  <c r="G273" i="3"/>
  <c r="H273" i="3"/>
  <c r="I273" i="3"/>
  <c r="J273" i="3"/>
  <c r="K273" i="3"/>
  <c r="L273" i="3"/>
  <c r="M273" i="3"/>
  <c r="N273" i="3"/>
  <c r="O273" i="3"/>
  <c r="P273" i="3"/>
  <c r="Q273" i="3"/>
  <c r="R273" i="3"/>
  <c r="S273" i="3"/>
  <c r="B274" i="3"/>
  <c r="C274" i="3"/>
  <c r="D274" i="3"/>
  <c r="E274" i="3"/>
  <c r="F274" i="3"/>
  <c r="G274" i="3"/>
  <c r="H274" i="3"/>
  <c r="I274" i="3"/>
  <c r="J274" i="3"/>
  <c r="K274" i="3"/>
  <c r="L274" i="3"/>
  <c r="M274" i="3"/>
  <c r="N274" i="3"/>
  <c r="O274" i="3"/>
  <c r="P274" i="3"/>
  <c r="Q274" i="3"/>
  <c r="R274" i="3"/>
  <c r="S274" i="3"/>
  <c r="B275" i="3"/>
  <c r="C275" i="3"/>
  <c r="D275" i="3"/>
  <c r="E275" i="3"/>
  <c r="F275" i="3"/>
  <c r="G275" i="3"/>
  <c r="H275" i="3"/>
  <c r="I275" i="3"/>
  <c r="J275" i="3"/>
  <c r="K275" i="3"/>
  <c r="L275" i="3"/>
  <c r="M275" i="3"/>
  <c r="N275" i="3"/>
  <c r="O275" i="3"/>
  <c r="P275" i="3"/>
  <c r="Q275" i="3"/>
  <c r="R275" i="3"/>
  <c r="S275" i="3"/>
  <c r="B276" i="3"/>
  <c r="C276" i="3"/>
  <c r="D276" i="3"/>
  <c r="E276" i="3"/>
  <c r="F276" i="3"/>
  <c r="G276" i="3"/>
  <c r="H276" i="3"/>
  <c r="I276" i="3"/>
  <c r="J276" i="3"/>
  <c r="K276" i="3"/>
  <c r="L276" i="3"/>
  <c r="M276" i="3"/>
  <c r="N276" i="3"/>
  <c r="O276" i="3"/>
  <c r="P276" i="3"/>
  <c r="Q276" i="3"/>
  <c r="R276" i="3"/>
  <c r="S276" i="3"/>
  <c r="B277" i="3"/>
  <c r="C277" i="3"/>
  <c r="D277" i="3"/>
  <c r="E277" i="3"/>
  <c r="F277" i="3"/>
  <c r="G277" i="3"/>
  <c r="H277" i="3"/>
  <c r="I277" i="3"/>
  <c r="J277" i="3"/>
  <c r="K277" i="3"/>
  <c r="L277" i="3"/>
  <c r="M277" i="3"/>
  <c r="N277" i="3"/>
  <c r="O277" i="3"/>
  <c r="P277" i="3"/>
  <c r="Q277" i="3"/>
  <c r="R277" i="3"/>
  <c r="S277" i="3"/>
  <c r="B278" i="3"/>
  <c r="C278" i="3"/>
  <c r="D278" i="3"/>
  <c r="E278" i="3"/>
  <c r="F278" i="3"/>
  <c r="G278" i="3"/>
  <c r="H278" i="3"/>
  <c r="I278" i="3"/>
  <c r="J278" i="3"/>
  <c r="K278" i="3"/>
  <c r="L278" i="3"/>
  <c r="M278" i="3"/>
  <c r="N278" i="3"/>
  <c r="O278" i="3"/>
  <c r="P278" i="3"/>
  <c r="Q278" i="3"/>
  <c r="R278" i="3"/>
  <c r="S278" i="3"/>
  <c r="B279" i="3"/>
  <c r="C279" i="3"/>
  <c r="D279" i="3"/>
  <c r="E279" i="3"/>
  <c r="F279" i="3"/>
  <c r="G279" i="3"/>
  <c r="H279" i="3"/>
  <c r="I279" i="3"/>
  <c r="J279" i="3"/>
  <c r="K279" i="3"/>
  <c r="L279" i="3"/>
  <c r="M279" i="3"/>
  <c r="N279" i="3"/>
  <c r="O279" i="3"/>
  <c r="P279" i="3"/>
  <c r="Q279" i="3"/>
  <c r="R279" i="3"/>
  <c r="S279" i="3"/>
  <c r="B280" i="3"/>
  <c r="C280" i="3"/>
  <c r="D280" i="3"/>
  <c r="E280" i="3"/>
  <c r="F280" i="3"/>
  <c r="G280" i="3"/>
  <c r="H280" i="3"/>
  <c r="I280" i="3"/>
  <c r="J280" i="3"/>
  <c r="K280" i="3"/>
  <c r="L280" i="3"/>
  <c r="M280" i="3"/>
  <c r="N280" i="3"/>
  <c r="O280" i="3"/>
  <c r="P280" i="3"/>
  <c r="Q280" i="3"/>
  <c r="R280" i="3"/>
  <c r="S280" i="3"/>
  <c r="B281" i="3"/>
  <c r="C281" i="3"/>
  <c r="D281" i="3"/>
  <c r="E281" i="3"/>
  <c r="F281" i="3"/>
  <c r="G281" i="3"/>
  <c r="H281" i="3"/>
  <c r="I281" i="3"/>
  <c r="J281" i="3"/>
  <c r="K281" i="3"/>
  <c r="L281" i="3"/>
  <c r="M281" i="3"/>
  <c r="N281" i="3"/>
  <c r="O281" i="3"/>
  <c r="P281" i="3"/>
  <c r="Q281" i="3"/>
  <c r="R281" i="3"/>
  <c r="S281" i="3"/>
  <c r="B282" i="3"/>
  <c r="C282" i="3"/>
  <c r="D282" i="3"/>
  <c r="E282" i="3"/>
  <c r="F282" i="3"/>
  <c r="G282" i="3"/>
  <c r="H282" i="3"/>
  <c r="I282" i="3"/>
  <c r="J282" i="3"/>
  <c r="K282" i="3"/>
  <c r="L282" i="3"/>
  <c r="M282" i="3"/>
  <c r="N282" i="3"/>
  <c r="O282" i="3"/>
  <c r="P282" i="3"/>
  <c r="Q282" i="3"/>
  <c r="R282" i="3"/>
  <c r="S282" i="3"/>
  <c r="B283" i="3"/>
  <c r="C283" i="3"/>
  <c r="D283" i="3"/>
  <c r="E283" i="3"/>
  <c r="F283" i="3"/>
  <c r="G283" i="3"/>
  <c r="H283" i="3"/>
  <c r="I283" i="3"/>
  <c r="J283" i="3"/>
  <c r="K283" i="3"/>
  <c r="L283" i="3"/>
  <c r="M283" i="3"/>
  <c r="N283" i="3"/>
  <c r="O283" i="3"/>
  <c r="P283" i="3"/>
  <c r="Q283" i="3"/>
  <c r="R283" i="3"/>
  <c r="S283" i="3"/>
  <c r="B284" i="3"/>
  <c r="C284" i="3"/>
  <c r="D284" i="3"/>
  <c r="E284" i="3"/>
  <c r="F284" i="3"/>
  <c r="G284" i="3"/>
  <c r="H284" i="3"/>
  <c r="I284" i="3"/>
  <c r="J284" i="3"/>
  <c r="K284" i="3"/>
  <c r="L284" i="3"/>
  <c r="M284" i="3"/>
  <c r="N284" i="3"/>
  <c r="O284" i="3"/>
  <c r="P284" i="3"/>
  <c r="Q284" i="3"/>
  <c r="R284" i="3"/>
  <c r="S284" i="3"/>
  <c r="B285" i="3"/>
  <c r="C285" i="3"/>
  <c r="D285" i="3"/>
  <c r="E285" i="3"/>
  <c r="F285" i="3"/>
  <c r="G285" i="3"/>
  <c r="H285" i="3"/>
  <c r="I285" i="3"/>
  <c r="J285" i="3"/>
  <c r="K285" i="3"/>
  <c r="L285" i="3"/>
  <c r="M285" i="3"/>
  <c r="N285" i="3"/>
  <c r="O285" i="3"/>
  <c r="P285" i="3"/>
  <c r="Q285" i="3"/>
  <c r="R285" i="3"/>
  <c r="S285" i="3"/>
  <c r="B286" i="3"/>
  <c r="C286" i="3"/>
  <c r="D286" i="3"/>
  <c r="E286" i="3"/>
  <c r="F286" i="3"/>
  <c r="G286" i="3"/>
  <c r="H286" i="3"/>
  <c r="I286" i="3"/>
  <c r="J286" i="3"/>
  <c r="K286" i="3"/>
  <c r="L286" i="3"/>
  <c r="M286" i="3"/>
  <c r="N286" i="3"/>
  <c r="O286" i="3"/>
  <c r="P286" i="3"/>
  <c r="Q286" i="3"/>
  <c r="R286" i="3"/>
  <c r="S286" i="3"/>
  <c r="B287" i="3"/>
  <c r="C287" i="3"/>
  <c r="D287" i="3"/>
  <c r="E287" i="3"/>
  <c r="F287" i="3"/>
  <c r="G287" i="3"/>
  <c r="H287" i="3"/>
  <c r="I287" i="3"/>
  <c r="J287" i="3"/>
  <c r="K287" i="3"/>
  <c r="L287" i="3"/>
  <c r="M287" i="3"/>
  <c r="N287" i="3"/>
  <c r="O287" i="3"/>
  <c r="P287" i="3"/>
  <c r="Q287" i="3"/>
  <c r="R287" i="3"/>
  <c r="S287" i="3"/>
  <c r="B288" i="3"/>
  <c r="C288" i="3"/>
  <c r="D288" i="3"/>
  <c r="E288" i="3"/>
  <c r="F288" i="3"/>
  <c r="G288" i="3"/>
  <c r="H288" i="3"/>
  <c r="I288" i="3"/>
  <c r="J288" i="3"/>
  <c r="K288" i="3"/>
  <c r="L288" i="3"/>
  <c r="M288" i="3"/>
  <c r="N288" i="3"/>
  <c r="O288" i="3"/>
  <c r="P288" i="3"/>
  <c r="Q288" i="3"/>
  <c r="R288" i="3"/>
  <c r="S288" i="3"/>
  <c r="B289" i="3"/>
  <c r="C289" i="3"/>
  <c r="D289" i="3"/>
  <c r="E289" i="3"/>
  <c r="F289" i="3"/>
  <c r="G289" i="3"/>
  <c r="H289" i="3"/>
  <c r="I289" i="3"/>
  <c r="J289" i="3"/>
  <c r="K289" i="3"/>
  <c r="L289" i="3"/>
  <c r="M289" i="3"/>
  <c r="N289" i="3"/>
  <c r="O289" i="3"/>
  <c r="P289" i="3"/>
  <c r="Q289" i="3"/>
  <c r="R289" i="3"/>
  <c r="S289" i="3"/>
  <c r="B290" i="3"/>
  <c r="C290" i="3"/>
  <c r="D290" i="3"/>
  <c r="E290" i="3"/>
  <c r="F290" i="3"/>
  <c r="G290" i="3"/>
  <c r="H290" i="3"/>
  <c r="I290" i="3"/>
  <c r="J290" i="3"/>
  <c r="K290" i="3"/>
  <c r="L290" i="3"/>
  <c r="M290" i="3"/>
  <c r="N290" i="3"/>
  <c r="O290" i="3"/>
  <c r="P290" i="3"/>
  <c r="Q290" i="3"/>
  <c r="R290" i="3"/>
  <c r="S290" i="3"/>
  <c r="B291" i="3"/>
  <c r="C291" i="3"/>
  <c r="D291" i="3"/>
  <c r="E291" i="3"/>
  <c r="F291" i="3"/>
  <c r="G291" i="3"/>
  <c r="H291" i="3"/>
  <c r="I291" i="3"/>
  <c r="J291" i="3"/>
  <c r="K291" i="3"/>
  <c r="L291" i="3"/>
  <c r="M291" i="3"/>
  <c r="N291" i="3"/>
  <c r="O291" i="3"/>
  <c r="P291" i="3"/>
  <c r="Q291" i="3"/>
  <c r="R291" i="3"/>
  <c r="S291" i="3"/>
  <c r="B292" i="3"/>
  <c r="C292" i="3"/>
  <c r="D292" i="3"/>
  <c r="E292" i="3"/>
  <c r="F292" i="3"/>
  <c r="G292" i="3"/>
  <c r="H292" i="3"/>
  <c r="I292" i="3"/>
  <c r="J292" i="3"/>
  <c r="K292" i="3"/>
  <c r="L292" i="3"/>
  <c r="M292" i="3"/>
  <c r="N292" i="3"/>
  <c r="O292" i="3"/>
  <c r="P292" i="3"/>
  <c r="Q292" i="3"/>
  <c r="R292" i="3"/>
  <c r="S292" i="3"/>
  <c r="B293" i="3"/>
  <c r="C293" i="3"/>
  <c r="D293" i="3"/>
  <c r="E293" i="3"/>
  <c r="F293" i="3"/>
  <c r="G293" i="3"/>
  <c r="H293" i="3"/>
  <c r="I293" i="3"/>
  <c r="J293" i="3"/>
  <c r="K293" i="3"/>
  <c r="L293" i="3"/>
  <c r="M293" i="3"/>
  <c r="N293" i="3"/>
  <c r="O293" i="3"/>
  <c r="P293" i="3"/>
  <c r="Q293" i="3"/>
  <c r="R293" i="3"/>
  <c r="S293" i="3"/>
  <c r="B294" i="3"/>
  <c r="C294" i="3"/>
  <c r="D294" i="3"/>
  <c r="E294" i="3"/>
  <c r="F294" i="3"/>
  <c r="G294" i="3"/>
  <c r="H294" i="3"/>
  <c r="I294" i="3"/>
  <c r="J294" i="3"/>
  <c r="K294" i="3"/>
  <c r="L294" i="3"/>
  <c r="M294" i="3"/>
  <c r="N294" i="3"/>
  <c r="O294" i="3"/>
  <c r="P294" i="3"/>
  <c r="Q294" i="3"/>
  <c r="R294" i="3"/>
  <c r="S294" i="3"/>
  <c r="B295" i="3"/>
  <c r="C295" i="3"/>
  <c r="D295" i="3"/>
  <c r="E295" i="3"/>
  <c r="F295" i="3"/>
  <c r="G295" i="3"/>
  <c r="H295" i="3"/>
  <c r="I295" i="3"/>
  <c r="J295" i="3"/>
  <c r="K295" i="3"/>
  <c r="L295" i="3"/>
  <c r="M295" i="3"/>
  <c r="N295" i="3"/>
  <c r="O295" i="3"/>
  <c r="P295" i="3"/>
  <c r="Q295" i="3"/>
  <c r="R295" i="3"/>
  <c r="S295" i="3"/>
  <c r="B296" i="3"/>
  <c r="C296" i="3"/>
  <c r="D296" i="3"/>
  <c r="E296" i="3"/>
  <c r="F296" i="3"/>
  <c r="G296" i="3"/>
  <c r="H296" i="3"/>
  <c r="I296" i="3"/>
  <c r="J296" i="3"/>
  <c r="K296" i="3"/>
  <c r="L296" i="3"/>
  <c r="M296" i="3"/>
  <c r="N296" i="3"/>
  <c r="O296" i="3"/>
  <c r="P296" i="3"/>
  <c r="Q296" i="3"/>
  <c r="R296" i="3"/>
  <c r="S296" i="3"/>
  <c r="B297" i="3"/>
  <c r="C297" i="3"/>
  <c r="D297" i="3"/>
  <c r="E297" i="3"/>
  <c r="F297" i="3"/>
  <c r="G297" i="3"/>
  <c r="H297" i="3"/>
  <c r="I297" i="3"/>
  <c r="J297" i="3"/>
  <c r="K297" i="3"/>
  <c r="L297" i="3"/>
  <c r="M297" i="3"/>
  <c r="N297" i="3"/>
  <c r="O297" i="3"/>
  <c r="P297" i="3"/>
  <c r="Q297" i="3"/>
  <c r="R297" i="3"/>
  <c r="S297" i="3"/>
  <c r="B298" i="3"/>
  <c r="C298" i="3"/>
  <c r="D298" i="3"/>
  <c r="E298" i="3"/>
  <c r="F298" i="3"/>
  <c r="G298" i="3"/>
  <c r="H298" i="3"/>
  <c r="I298" i="3"/>
  <c r="J298" i="3"/>
  <c r="K298" i="3"/>
  <c r="L298" i="3"/>
  <c r="M298" i="3"/>
  <c r="N298" i="3"/>
  <c r="O298" i="3"/>
  <c r="P298" i="3"/>
  <c r="Q298" i="3"/>
  <c r="R298" i="3"/>
  <c r="S298" i="3"/>
  <c r="B299" i="3"/>
  <c r="C299" i="3"/>
  <c r="D299" i="3"/>
  <c r="E299" i="3"/>
  <c r="F299" i="3"/>
  <c r="G299" i="3"/>
  <c r="H299" i="3"/>
  <c r="I299" i="3"/>
  <c r="J299" i="3"/>
  <c r="K299" i="3"/>
  <c r="L299" i="3"/>
  <c r="M299" i="3"/>
  <c r="N299" i="3"/>
  <c r="O299" i="3"/>
  <c r="P299" i="3"/>
  <c r="Q299" i="3"/>
  <c r="R299" i="3"/>
  <c r="S299" i="3"/>
  <c r="B300" i="3"/>
  <c r="C300" i="3"/>
  <c r="D300" i="3"/>
  <c r="E300" i="3"/>
  <c r="F300" i="3"/>
  <c r="G300" i="3"/>
  <c r="H300" i="3"/>
  <c r="I300" i="3"/>
  <c r="J300" i="3"/>
  <c r="K300" i="3"/>
  <c r="L300" i="3"/>
  <c r="M300" i="3"/>
  <c r="N300" i="3"/>
  <c r="O300" i="3"/>
  <c r="P300" i="3"/>
  <c r="Q300" i="3"/>
  <c r="R300" i="3"/>
  <c r="S300" i="3"/>
  <c r="B301" i="3"/>
  <c r="C301" i="3"/>
  <c r="D301" i="3"/>
  <c r="E301" i="3"/>
  <c r="F301" i="3"/>
  <c r="G301" i="3"/>
  <c r="H301" i="3"/>
  <c r="I301" i="3"/>
  <c r="J301" i="3"/>
  <c r="K301" i="3"/>
  <c r="L301" i="3"/>
  <c r="M301" i="3"/>
  <c r="N301" i="3"/>
  <c r="O301" i="3"/>
  <c r="P301" i="3"/>
  <c r="Q301" i="3"/>
  <c r="R301" i="3"/>
  <c r="S301" i="3"/>
  <c r="B302" i="3"/>
  <c r="C302" i="3"/>
  <c r="D302" i="3"/>
  <c r="E302" i="3"/>
  <c r="F302" i="3"/>
  <c r="G302" i="3"/>
  <c r="H302" i="3"/>
  <c r="I302" i="3"/>
  <c r="J302" i="3"/>
  <c r="K302" i="3"/>
  <c r="L302" i="3"/>
  <c r="M302" i="3"/>
  <c r="N302" i="3"/>
  <c r="O302" i="3"/>
  <c r="P302" i="3"/>
  <c r="Q302" i="3"/>
  <c r="R302" i="3"/>
  <c r="S302" i="3"/>
  <c r="B303" i="3"/>
  <c r="C303" i="3"/>
  <c r="D303" i="3"/>
  <c r="E303" i="3"/>
  <c r="F303" i="3"/>
  <c r="G303" i="3"/>
  <c r="H303" i="3"/>
  <c r="I303" i="3"/>
  <c r="J303" i="3"/>
  <c r="K303" i="3"/>
  <c r="L303" i="3"/>
  <c r="M303" i="3"/>
  <c r="N303" i="3"/>
  <c r="O303" i="3"/>
  <c r="P303" i="3"/>
  <c r="Q303" i="3"/>
  <c r="R303" i="3"/>
  <c r="S303" i="3"/>
  <c r="B304" i="3"/>
  <c r="C304" i="3"/>
  <c r="D304" i="3"/>
  <c r="E304" i="3"/>
  <c r="F304" i="3"/>
  <c r="G304" i="3"/>
  <c r="H304" i="3"/>
  <c r="I304" i="3"/>
  <c r="J304" i="3"/>
  <c r="K304" i="3"/>
  <c r="L304" i="3"/>
  <c r="M304" i="3"/>
  <c r="N304" i="3"/>
  <c r="O304" i="3"/>
  <c r="P304" i="3"/>
  <c r="Q304" i="3"/>
  <c r="R304" i="3"/>
  <c r="S304" i="3"/>
  <c r="B305" i="3"/>
  <c r="C305" i="3"/>
  <c r="D305" i="3"/>
  <c r="E305" i="3"/>
  <c r="F305" i="3"/>
  <c r="G305" i="3"/>
  <c r="H305" i="3"/>
  <c r="I305" i="3"/>
  <c r="J305" i="3"/>
  <c r="K305" i="3"/>
  <c r="L305" i="3"/>
  <c r="M305" i="3"/>
  <c r="N305" i="3"/>
  <c r="O305" i="3"/>
  <c r="P305" i="3"/>
  <c r="Q305" i="3"/>
  <c r="R305" i="3"/>
  <c r="S305" i="3"/>
  <c r="B306" i="3"/>
  <c r="C306" i="3"/>
  <c r="D306" i="3"/>
  <c r="E306" i="3"/>
  <c r="F306" i="3"/>
  <c r="G306" i="3"/>
  <c r="H306" i="3"/>
  <c r="I306" i="3"/>
  <c r="J306" i="3"/>
  <c r="K306" i="3"/>
  <c r="L306" i="3"/>
  <c r="M306" i="3"/>
  <c r="N306" i="3"/>
  <c r="O306" i="3"/>
  <c r="P306" i="3"/>
  <c r="Q306" i="3"/>
  <c r="R306" i="3"/>
  <c r="S306" i="3"/>
  <c r="B307" i="3"/>
  <c r="C307" i="3"/>
  <c r="D307" i="3"/>
  <c r="E307" i="3"/>
  <c r="F307" i="3"/>
  <c r="G307" i="3"/>
  <c r="H307" i="3"/>
  <c r="I307" i="3"/>
  <c r="J307" i="3"/>
  <c r="K307" i="3"/>
  <c r="L307" i="3"/>
  <c r="M307" i="3"/>
  <c r="N307" i="3"/>
  <c r="O307" i="3"/>
  <c r="P307" i="3"/>
  <c r="Q307" i="3"/>
  <c r="R307" i="3"/>
  <c r="S307" i="3"/>
  <c r="B308" i="3"/>
  <c r="C308" i="3"/>
  <c r="D308" i="3"/>
  <c r="E308" i="3"/>
  <c r="F308" i="3"/>
  <c r="G308" i="3"/>
  <c r="H308" i="3"/>
  <c r="I308" i="3"/>
  <c r="J308" i="3"/>
  <c r="K308" i="3"/>
  <c r="L308" i="3"/>
  <c r="M308" i="3"/>
  <c r="N308" i="3"/>
  <c r="O308" i="3"/>
  <c r="P308" i="3"/>
  <c r="Q308" i="3"/>
  <c r="R308" i="3"/>
  <c r="S308" i="3"/>
  <c r="B309" i="3"/>
  <c r="C309" i="3"/>
  <c r="D309" i="3"/>
  <c r="E309" i="3"/>
  <c r="F309" i="3"/>
  <c r="G309" i="3"/>
  <c r="H309" i="3"/>
  <c r="I309" i="3"/>
  <c r="J309" i="3"/>
  <c r="K309" i="3"/>
  <c r="L309" i="3"/>
  <c r="M309" i="3"/>
  <c r="N309" i="3"/>
  <c r="O309" i="3"/>
  <c r="P309" i="3"/>
  <c r="Q309" i="3"/>
  <c r="R309" i="3"/>
  <c r="S309" i="3"/>
  <c r="B310" i="3"/>
  <c r="C310" i="3"/>
  <c r="D310" i="3"/>
  <c r="E310" i="3"/>
  <c r="F310" i="3"/>
  <c r="G310" i="3"/>
  <c r="H310" i="3"/>
  <c r="I310" i="3"/>
  <c r="J310" i="3"/>
  <c r="K310" i="3"/>
  <c r="L310" i="3"/>
  <c r="M310" i="3"/>
  <c r="N310" i="3"/>
  <c r="O310" i="3"/>
  <c r="P310" i="3"/>
  <c r="Q310" i="3"/>
  <c r="R310" i="3"/>
  <c r="S310" i="3"/>
  <c r="B311" i="3"/>
  <c r="C311" i="3"/>
  <c r="D311" i="3"/>
  <c r="E311" i="3"/>
  <c r="F311" i="3"/>
  <c r="G311" i="3"/>
  <c r="H311" i="3"/>
  <c r="I311" i="3"/>
  <c r="J311" i="3"/>
  <c r="K311" i="3"/>
  <c r="L311" i="3"/>
  <c r="M311" i="3"/>
  <c r="N311" i="3"/>
  <c r="O311" i="3"/>
  <c r="P311" i="3"/>
  <c r="Q311" i="3"/>
  <c r="R311" i="3"/>
  <c r="S311" i="3"/>
  <c r="B312" i="3"/>
  <c r="C312" i="3"/>
  <c r="D312" i="3"/>
  <c r="E312" i="3"/>
  <c r="F312" i="3"/>
  <c r="G312" i="3"/>
  <c r="H312" i="3"/>
  <c r="I312" i="3"/>
  <c r="J312" i="3"/>
  <c r="K312" i="3"/>
  <c r="L312" i="3"/>
  <c r="M312" i="3"/>
  <c r="N312" i="3"/>
  <c r="O312" i="3"/>
  <c r="P312" i="3"/>
  <c r="Q312" i="3"/>
  <c r="R312" i="3"/>
  <c r="S312" i="3"/>
  <c r="B313" i="3"/>
  <c r="C313" i="3"/>
  <c r="D313" i="3"/>
  <c r="E313" i="3"/>
  <c r="F313" i="3"/>
  <c r="G313" i="3"/>
  <c r="H313" i="3"/>
  <c r="I313" i="3"/>
  <c r="J313" i="3"/>
  <c r="K313" i="3"/>
  <c r="L313" i="3"/>
  <c r="M313" i="3"/>
  <c r="N313" i="3"/>
  <c r="O313" i="3"/>
  <c r="P313" i="3"/>
  <c r="Q313" i="3"/>
  <c r="R313" i="3"/>
  <c r="S313" i="3"/>
  <c r="B314" i="3"/>
  <c r="C314" i="3"/>
  <c r="D314" i="3"/>
  <c r="E314" i="3"/>
  <c r="F314" i="3"/>
  <c r="G314" i="3"/>
  <c r="H314" i="3"/>
  <c r="I314" i="3"/>
  <c r="J314" i="3"/>
  <c r="K314" i="3"/>
  <c r="L314" i="3"/>
  <c r="M314" i="3"/>
  <c r="N314" i="3"/>
  <c r="O314" i="3"/>
  <c r="P314" i="3"/>
  <c r="Q314" i="3"/>
  <c r="R314" i="3"/>
  <c r="S314" i="3"/>
  <c r="B315" i="3"/>
  <c r="C315" i="3"/>
  <c r="D315" i="3"/>
  <c r="E315" i="3"/>
  <c r="F315" i="3"/>
  <c r="G315" i="3"/>
  <c r="H315" i="3"/>
  <c r="I315" i="3"/>
  <c r="J315" i="3"/>
  <c r="K315" i="3"/>
  <c r="L315" i="3"/>
  <c r="M315" i="3"/>
  <c r="N315" i="3"/>
  <c r="O315" i="3"/>
  <c r="P315" i="3"/>
  <c r="Q315" i="3"/>
  <c r="R315" i="3"/>
  <c r="S315" i="3"/>
  <c r="B316" i="3"/>
  <c r="C316" i="3"/>
  <c r="D316" i="3"/>
  <c r="E316" i="3"/>
  <c r="F316" i="3"/>
  <c r="G316" i="3"/>
  <c r="H316" i="3"/>
  <c r="I316" i="3"/>
  <c r="J316" i="3"/>
  <c r="K316" i="3"/>
  <c r="L316" i="3"/>
  <c r="M316" i="3"/>
  <c r="N316" i="3"/>
  <c r="O316" i="3"/>
  <c r="P316" i="3"/>
  <c r="Q316" i="3"/>
  <c r="R316" i="3"/>
  <c r="S316" i="3"/>
  <c r="B317" i="3"/>
  <c r="C317" i="3"/>
  <c r="D317" i="3"/>
  <c r="E317" i="3"/>
  <c r="F317" i="3"/>
  <c r="G317" i="3"/>
  <c r="H317" i="3"/>
  <c r="I317" i="3"/>
  <c r="J317" i="3"/>
  <c r="K317" i="3"/>
  <c r="L317" i="3"/>
  <c r="M317" i="3"/>
  <c r="N317" i="3"/>
  <c r="O317" i="3"/>
  <c r="P317" i="3"/>
  <c r="Q317" i="3"/>
  <c r="R317" i="3"/>
  <c r="S317" i="3"/>
  <c r="B318" i="3"/>
  <c r="C318" i="3"/>
  <c r="D318" i="3"/>
  <c r="E318" i="3"/>
  <c r="F318" i="3"/>
  <c r="G318" i="3"/>
  <c r="H318" i="3"/>
  <c r="I318" i="3"/>
  <c r="J318" i="3"/>
  <c r="K318" i="3"/>
  <c r="L318" i="3"/>
  <c r="M318" i="3"/>
  <c r="N318" i="3"/>
  <c r="O318" i="3"/>
  <c r="P318" i="3"/>
  <c r="Q318" i="3"/>
  <c r="R318" i="3"/>
  <c r="S318" i="3"/>
  <c r="B319" i="3"/>
  <c r="C319" i="3"/>
  <c r="D319" i="3"/>
  <c r="E319" i="3"/>
  <c r="F319" i="3"/>
  <c r="G319" i="3"/>
  <c r="H319" i="3"/>
  <c r="I319" i="3"/>
  <c r="J319" i="3"/>
  <c r="K319" i="3"/>
  <c r="L319" i="3"/>
  <c r="M319" i="3"/>
  <c r="N319" i="3"/>
  <c r="O319" i="3"/>
  <c r="P319" i="3"/>
  <c r="Q319" i="3"/>
  <c r="R319" i="3"/>
  <c r="S319" i="3"/>
  <c r="B320" i="3"/>
  <c r="C320" i="3"/>
  <c r="D320" i="3"/>
  <c r="E320" i="3"/>
  <c r="F320" i="3"/>
  <c r="G320" i="3"/>
  <c r="H320" i="3"/>
  <c r="I320" i="3"/>
  <c r="J320" i="3"/>
  <c r="K320" i="3"/>
  <c r="L320" i="3"/>
  <c r="M320" i="3"/>
  <c r="N320" i="3"/>
  <c r="O320" i="3"/>
  <c r="P320" i="3"/>
  <c r="Q320" i="3"/>
  <c r="R320" i="3"/>
  <c r="S320" i="3"/>
  <c r="B321" i="3"/>
  <c r="C321" i="3"/>
  <c r="D321" i="3"/>
  <c r="E321" i="3"/>
  <c r="F321" i="3"/>
  <c r="G321" i="3"/>
  <c r="H321" i="3"/>
  <c r="I321" i="3"/>
  <c r="J321" i="3"/>
  <c r="K321" i="3"/>
  <c r="L321" i="3"/>
  <c r="M321" i="3"/>
  <c r="N321" i="3"/>
  <c r="O321" i="3"/>
  <c r="P321" i="3"/>
  <c r="Q321" i="3"/>
  <c r="R321" i="3"/>
  <c r="S321" i="3"/>
  <c r="B322" i="3"/>
  <c r="C322" i="3"/>
  <c r="D322" i="3"/>
  <c r="E322" i="3"/>
  <c r="F322" i="3"/>
  <c r="G322" i="3"/>
  <c r="H322" i="3"/>
  <c r="I322" i="3"/>
  <c r="J322" i="3"/>
  <c r="K322" i="3"/>
  <c r="L322" i="3"/>
  <c r="M322" i="3"/>
  <c r="N322" i="3"/>
  <c r="O322" i="3"/>
  <c r="P322" i="3"/>
  <c r="Q322" i="3"/>
  <c r="R322" i="3"/>
  <c r="S322" i="3"/>
  <c r="B323" i="3"/>
  <c r="C323" i="3"/>
  <c r="D323" i="3"/>
  <c r="E323" i="3"/>
  <c r="F323" i="3"/>
  <c r="G323" i="3"/>
  <c r="H323" i="3"/>
  <c r="I323" i="3"/>
  <c r="J323" i="3"/>
  <c r="K323" i="3"/>
  <c r="L323" i="3"/>
  <c r="M323" i="3"/>
  <c r="N323" i="3"/>
  <c r="O323" i="3"/>
  <c r="P323" i="3"/>
  <c r="Q323" i="3"/>
  <c r="R323" i="3"/>
  <c r="S323" i="3"/>
  <c r="B324" i="3"/>
  <c r="C324" i="3"/>
  <c r="D324" i="3"/>
  <c r="E324" i="3"/>
  <c r="F324" i="3"/>
  <c r="G324" i="3"/>
  <c r="H324" i="3"/>
  <c r="I324" i="3"/>
  <c r="J324" i="3"/>
  <c r="K324" i="3"/>
  <c r="L324" i="3"/>
  <c r="M324" i="3"/>
  <c r="N324" i="3"/>
  <c r="O324" i="3"/>
  <c r="P324" i="3"/>
  <c r="Q324" i="3"/>
  <c r="R324" i="3"/>
  <c r="S324" i="3"/>
  <c r="B325" i="3"/>
  <c r="C325" i="3"/>
  <c r="D325" i="3"/>
  <c r="E325" i="3"/>
  <c r="F325" i="3"/>
  <c r="G325" i="3"/>
  <c r="H325" i="3"/>
  <c r="I325" i="3"/>
  <c r="J325" i="3"/>
  <c r="K325" i="3"/>
  <c r="L325" i="3"/>
  <c r="M325" i="3"/>
  <c r="N325" i="3"/>
  <c r="O325" i="3"/>
  <c r="P325" i="3"/>
  <c r="Q325" i="3"/>
  <c r="R325" i="3"/>
  <c r="S325" i="3"/>
  <c r="B326" i="3"/>
  <c r="C326" i="3"/>
  <c r="D326" i="3"/>
  <c r="E326" i="3"/>
  <c r="F326" i="3"/>
  <c r="G326" i="3"/>
  <c r="H326" i="3"/>
  <c r="I326" i="3"/>
  <c r="J326" i="3"/>
  <c r="K326" i="3"/>
  <c r="L326" i="3"/>
  <c r="M326" i="3"/>
  <c r="N326" i="3"/>
  <c r="O326" i="3"/>
  <c r="P326" i="3"/>
  <c r="Q326" i="3"/>
  <c r="R326" i="3"/>
  <c r="S326" i="3"/>
  <c r="B327" i="3"/>
  <c r="C327" i="3"/>
  <c r="D327" i="3"/>
  <c r="E327" i="3"/>
  <c r="F327" i="3"/>
  <c r="G327" i="3"/>
  <c r="H327" i="3"/>
  <c r="I327" i="3"/>
  <c r="J327" i="3"/>
  <c r="K327" i="3"/>
  <c r="L327" i="3"/>
  <c r="M327" i="3"/>
  <c r="N327" i="3"/>
  <c r="O327" i="3"/>
  <c r="P327" i="3"/>
  <c r="Q327" i="3"/>
  <c r="R327" i="3"/>
  <c r="S327" i="3"/>
  <c r="B328" i="3"/>
  <c r="C328" i="3"/>
  <c r="D328" i="3"/>
  <c r="E328" i="3"/>
  <c r="F328" i="3"/>
  <c r="G328" i="3"/>
  <c r="H328" i="3"/>
  <c r="I328" i="3"/>
  <c r="J328" i="3"/>
  <c r="K328" i="3"/>
  <c r="L328" i="3"/>
  <c r="M328" i="3"/>
  <c r="N328" i="3"/>
  <c r="O328" i="3"/>
  <c r="P328" i="3"/>
  <c r="Q328" i="3"/>
  <c r="R328" i="3"/>
  <c r="S328" i="3"/>
  <c r="B329" i="3"/>
  <c r="C329" i="3"/>
  <c r="D329" i="3"/>
  <c r="E329" i="3"/>
  <c r="F329" i="3"/>
  <c r="G329" i="3"/>
  <c r="H329" i="3"/>
  <c r="I329" i="3"/>
  <c r="J329" i="3"/>
  <c r="K329" i="3"/>
  <c r="L329" i="3"/>
  <c r="M329" i="3"/>
  <c r="N329" i="3"/>
  <c r="O329" i="3"/>
  <c r="P329" i="3"/>
  <c r="Q329" i="3"/>
  <c r="R329" i="3"/>
  <c r="S329" i="3"/>
  <c r="B330" i="3"/>
  <c r="C330" i="3"/>
  <c r="D330" i="3"/>
  <c r="E330" i="3"/>
  <c r="F330" i="3"/>
  <c r="G330" i="3"/>
  <c r="H330" i="3"/>
  <c r="I330" i="3"/>
  <c r="J330" i="3"/>
  <c r="K330" i="3"/>
  <c r="L330" i="3"/>
  <c r="M330" i="3"/>
  <c r="N330" i="3"/>
  <c r="O330" i="3"/>
  <c r="P330" i="3"/>
  <c r="Q330" i="3"/>
  <c r="R330" i="3"/>
  <c r="S330" i="3"/>
  <c r="B331" i="3"/>
  <c r="C331" i="3"/>
  <c r="D331" i="3"/>
  <c r="E331" i="3"/>
  <c r="F331" i="3"/>
  <c r="G331" i="3"/>
  <c r="H331" i="3"/>
  <c r="I331" i="3"/>
  <c r="J331" i="3"/>
  <c r="K331" i="3"/>
  <c r="L331" i="3"/>
  <c r="M331" i="3"/>
  <c r="N331" i="3"/>
  <c r="O331" i="3"/>
  <c r="P331" i="3"/>
  <c r="Q331" i="3"/>
  <c r="R331" i="3"/>
  <c r="S331" i="3"/>
  <c r="B332" i="3"/>
  <c r="C332" i="3"/>
  <c r="D332" i="3"/>
  <c r="E332" i="3"/>
  <c r="F332" i="3"/>
  <c r="G332" i="3"/>
  <c r="H332" i="3"/>
  <c r="I332" i="3"/>
  <c r="J332" i="3"/>
  <c r="K332" i="3"/>
  <c r="L332" i="3"/>
  <c r="M332" i="3"/>
  <c r="N332" i="3"/>
  <c r="O332" i="3"/>
  <c r="P332" i="3"/>
  <c r="Q332" i="3"/>
  <c r="R332" i="3"/>
  <c r="S332" i="3"/>
  <c r="B333" i="3"/>
  <c r="C333" i="3"/>
  <c r="D333" i="3"/>
  <c r="E333" i="3"/>
  <c r="F333" i="3"/>
  <c r="G333" i="3"/>
  <c r="H333" i="3"/>
  <c r="I333" i="3"/>
  <c r="J333" i="3"/>
  <c r="K333" i="3"/>
  <c r="L333" i="3"/>
  <c r="M333" i="3"/>
  <c r="N333" i="3"/>
  <c r="O333" i="3"/>
  <c r="P333" i="3"/>
  <c r="Q333" i="3"/>
  <c r="R333" i="3"/>
  <c r="S333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B15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F59" i="2" s="1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9" i="4"/>
  <c r="Y7" i="3"/>
  <c r="Y8" i="3"/>
  <c r="Y9" i="3"/>
  <c r="Y6" i="3"/>
  <c r="Y2" i="3"/>
  <c r="Z2" i="3"/>
  <c r="Y3" i="3"/>
  <c r="Z3" i="3"/>
  <c r="Y4" i="3"/>
  <c r="Z1" i="3"/>
  <c r="Y1" i="3"/>
  <c r="C10" i="2"/>
  <c r="AA2" i="3" s="1"/>
  <c r="J11" i="4" l="1"/>
  <c r="C11" i="4"/>
  <c r="B6" i="2" s="1"/>
  <c r="C6" i="2" s="1"/>
  <c r="D11" i="4"/>
  <c r="B7" i="2" s="1"/>
  <c r="E11" i="4"/>
  <c r="B8" i="2" s="1"/>
  <c r="K11" i="4"/>
  <c r="F11" i="4"/>
  <c r="G11" i="4"/>
  <c r="H11" i="4"/>
  <c r="A11" i="4"/>
  <c r="I11" i="4"/>
  <c r="B11" i="4"/>
  <c r="B5" i="2" s="1"/>
  <c r="B12" i="2"/>
  <c r="W2" i="3"/>
  <c r="W3" i="3"/>
  <c r="W4" i="3"/>
  <c r="W5" i="3"/>
  <c r="W6" i="3"/>
  <c r="W1" i="3"/>
  <c r="H10" i="2" l="1"/>
  <c r="O3" i="2" s="1"/>
  <c r="Z4" i="3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7" i="2"/>
  <c r="AB16" i="3" l="1"/>
  <c r="O2" i="2"/>
  <c r="AB28" i="3"/>
  <c r="AB15" i="3"/>
  <c r="AB137" i="3"/>
  <c r="AB207" i="3"/>
  <c r="AB143" i="3"/>
  <c r="AB79" i="3"/>
  <c r="AB78" i="3"/>
  <c r="AB333" i="3"/>
  <c r="AB269" i="3"/>
  <c r="AB205" i="3"/>
  <c r="AB141" i="3"/>
  <c r="AB77" i="3"/>
  <c r="AB332" i="3"/>
  <c r="AB268" i="3"/>
  <c r="AB204" i="3"/>
  <c r="AB140" i="3"/>
  <c r="AB76" i="3"/>
  <c r="AB331" i="3"/>
  <c r="AB267" i="3"/>
  <c r="AB203" i="3"/>
  <c r="AB139" i="3"/>
  <c r="AB75" i="3"/>
  <c r="AB330" i="3"/>
  <c r="AB266" i="3"/>
  <c r="AB202" i="3"/>
  <c r="AB138" i="3"/>
  <c r="AB74" i="3"/>
  <c r="AB329" i="3"/>
  <c r="AB265" i="3"/>
  <c r="AB201" i="3"/>
  <c r="AB72" i="3"/>
  <c r="AB327" i="3"/>
  <c r="AB263" i="3"/>
  <c r="AB199" i="3"/>
  <c r="AB135" i="3"/>
  <c r="AB71" i="3"/>
  <c r="AB326" i="3"/>
  <c r="AB262" i="3"/>
  <c r="AB198" i="3"/>
  <c r="AB134" i="3"/>
  <c r="AB70" i="3"/>
  <c r="AB325" i="3"/>
  <c r="AB261" i="3"/>
  <c r="AB197" i="3"/>
  <c r="AB133" i="3"/>
  <c r="AB69" i="3"/>
  <c r="AB324" i="3"/>
  <c r="AB260" i="3"/>
  <c r="AB196" i="3"/>
  <c r="AB132" i="3"/>
  <c r="AB68" i="3"/>
  <c r="AB323" i="3"/>
  <c r="AB259" i="3"/>
  <c r="AB195" i="3"/>
  <c r="AB131" i="3"/>
  <c r="AB67" i="3"/>
  <c r="AB322" i="3"/>
  <c r="AB258" i="3"/>
  <c r="AB194" i="3"/>
  <c r="AB130" i="3"/>
  <c r="AB66" i="3"/>
  <c r="AB321" i="3"/>
  <c r="AB257" i="3"/>
  <c r="AB193" i="3"/>
  <c r="AB129" i="3"/>
  <c r="AB65" i="3"/>
  <c r="AB320" i="3"/>
  <c r="AB256" i="3"/>
  <c r="AB192" i="3"/>
  <c r="AB128" i="3"/>
  <c r="AB64" i="3"/>
  <c r="AB319" i="3"/>
  <c r="AB255" i="3"/>
  <c r="AB191" i="3"/>
  <c r="AB127" i="3"/>
  <c r="AB63" i="3"/>
  <c r="AB318" i="3"/>
  <c r="AB254" i="3"/>
  <c r="AB190" i="3"/>
  <c r="AB126" i="3"/>
  <c r="AB62" i="3"/>
  <c r="AB317" i="3"/>
  <c r="AB253" i="3"/>
  <c r="AB189" i="3"/>
  <c r="AB125" i="3"/>
  <c r="AB61" i="3"/>
  <c r="AB316" i="3"/>
  <c r="AB252" i="3"/>
  <c r="AB188" i="3"/>
  <c r="AB124" i="3"/>
  <c r="AB60" i="3"/>
  <c r="AB315" i="3"/>
  <c r="AB251" i="3"/>
  <c r="AB187" i="3"/>
  <c r="AB123" i="3"/>
  <c r="AB59" i="3"/>
  <c r="AB314" i="3"/>
  <c r="AB250" i="3"/>
  <c r="AB186" i="3"/>
  <c r="AB122" i="3"/>
  <c r="AB58" i="3"/>
  <c r="AB313" i="3"/>
  <c r="AB249" i="3"/>
  <c r="AB185" i="3"/>
  <c r="AB121" i="3"/>
  <c r="AB57" i="3"/>
  <c r="AB312" i="3"/>
  <c r="AB248" i="3"/>
  <c r="AB184" i="3"/>
  <c r="AB120" i="3"/>
  <c r="AB56" i="3"/>
  <c r="AB328" i="3"/>
  <c r="AB311" i="3"/>
  <c r="AB247" i="3"/>
  <c r="AB183" i="3"/>
  <c r="AB119" i="3"/>
  <c r="AB55" i="3"/>
  <c r="AB310" i="3"/>
  <c r="AB246" i="3"/>
  <c r="AB182" i="3"/>
  <c r="AB118" i="3"/>
  <c r="AB54" i="3"/>
  <c r="AB309" i="3"/>
  <c r="AB245" i="3"/>
  <c r="AB181" i="3"/>
  <c r="AB117" i="3"/>
  <c r="AB53" i="3"/>
  <c r="AB308" i="3"/>
  <c r="AB244" i="3"/>
  <c r="AB180" i="3"/>
  <c r="AB116" i="3"/>
  <c r="AB52" i="3"/>
  <c r="AB307" i="3"/>
  <c r="AB243" i="3"/>
  <c r="AB179" i="3"/>
  <c r="AB115" i="3"/>
  <c r="AB51" i="3"/>
  <c r="AB306" i="3"/>
  <c r="AB242" i="3"/>
  <c r="AB178" i="3"/>
  <c r="AB114" i="3"/>
  <c r="AB50" i="3"/>
  <c r="AB305" i="3"/>
  <c r="AB241" i="3"/>
  <c r="AB177" i="3"/>
  <c r="AB113" i="3"/>
  <c r="AB49" i="3"/>
  <c r="AB304" i="3"/>
  <c r="AB240" i="3"/>
  <c r="AB176" i="3"/>
  <c r="AB112" i="3"/>
  <c r="AB48" i="3"/>
  <c r="AB271" i="3"/>
  <c r="AB142" i="3"/>
  <c r="AB200" i="3"/>
  <c r="AB303" i="3"/>
  <c r="AB239" i="3"/>
  <c r="AB175" i="3"/>
  <c r="AB111" i="3"/>
  <c r="AB47" i="3"/>
  <c r="AB302" i="3"/>
  <c r="AB238" i="3"/>
  <c r="AB174" i="3"/>
  <c r="AB110" i="3"/>
  <c r="AB46" i="3"/>
  <c r="AB301" i="3"/>
  <c r="AB237" i="3"/>
  <c r="AB173" i="3"/>
  <c r="AB109" i="3"/>
  <c r="AB45" i="3"/>
  <c r="AB300" i="3"/>
  <c r="AB236" i="3"/>
  <c r="AB172" i="3"/>
  <c r="AB108" i="3"/>
  <c r="AB44" i="3"/>
  <c r="AB299" i="3"/>
  <c r="AB235" i="3"/>
  <c r="AB171" i="3"/>
  <c r="AB107" i="3"/>
  <c r="AB43" i="3"/>
  <c r="AB298" i="3"/>
  <c r="AB234" i="3"/>
  <c r="AB170" i="3"/>
  <c r="AB106" i="3"/>
  <c r="AB42" i="3"/>
  <c r="AB297" i="3"/>
  <c r="AB233" i="3"/>
  <c r="AB169" i="3"/>
  <c r="AB105" i="3"/>
  <c r="AB41" i="3"/>
  <c r="AB296" i="3"/>
  <c r="AB232" i="3"/>
  <c r="AB168" i="3"/>
  <c r="AB104" i="3"/>
  <c r="AB40" i="3"/>
  <c r="AB73" i="3"/>
  <c r="AB295" i="3"/>
  <c r="AB231" i="3"/>
  <c r="AB167" i="3"/>
  <c r="AB103" i="3"/>
  <c r="AB39" i="3"/>
  <c r="AB294" i="3"/>
  <c r="AB230" i="3"/>
  <c r="AB166" i="3"/>
  <c r="AB102" i="3"/>
  <c r="AB38" i="3"/>
  <c r="AB293" i="3"/>
  <c r="AB229" i="3"/>
  <c r="AB165" i="3"/>
  <c r="AB101" i="3"/>
  <c r="AB37" i="3"/>
  <c r="AB292" i="3"/>
  <c r="AB228" i="3"/>
  <c r="AB164" i="3"/>
  <c r="AB100" i="3"/>
  <c r="AB36" i="3"/>
  <c r="AB291" i="3"/>
  <c r="AB227" i="3"/>
  <c r="AB163" i="3"/>
  <c r="AB99" i="3"/>
  <c r="AB35" i="3"/>
  <c r="AB290" i="3"/>
  <c r="AB226" i="3"/>
  <c r="AB162" i="3"/>
  <c r="AB98" i="3"/>
  <c r="AB34" i="3"/>
  <c r="AB289" i="3"/>
  <c r="AB225" i="3"/>
  <c r="AB161" i="3"/>
  <c r="AB97" i="3"/>
  <c r="AB33" i="3"/>
  <c r="AB288" i="3"/>
  <c r="AB224" i="3"/>
  <c r="AB160" i="3"/>
  <c r="AB96" i="3"/>
  <c r="AB32" i="3"/>
  <c r="AB270" i="3"/>
  <c r="AB264" i="3"/>
  <c r="AB287" i="3"/>
  <c r="AB223" i="3"/>
  <c r="AB159" i="3"/>
  <c r="AB95" i="3"/>
  <c r="AB31" i="3"/>
  <c r="AB286" i="3"/>
  <c r="AB222" i="3"/>
  <c r="AB158" i="3"/>
  <c r="AB94" i="3"/>
  <c r="AB30" i="3"/>
  <c r="AB285" i="3"/>
  <c r="AB221" i="3"/>
  <c r="AB157" i="3"/>
  <c r="AB93" i="3"/>
  <c r="AB29" i="3"/>
  <c r="AB284" i="3"/>
  <c r="AB220" i="3"/>
  <c r="AB156" i="3"/>
  <c r="AB92" i="3"/>
  <c r="AB283" i="3"/>
  <c r="AB219" i="3"/>
  <c r="AB155" i="3"/>
  <c r="AB91" i="3"/>
  <c r="AB27" i="3"/>
  <c r="AB282" i="3"/>
  <c r="AB218" i="3"/>
  <c r="AB154" i="3"/>
  <c r="AB90" i="3"/>
  <c r="AB26" i="3"/>
  <c r="AB281" i="3"/>
  <c r="AB217" i="3"/>
  <c r="AB153" i="3"/>
  <c r="AB89" i="3"/>
  <c r="AB25" i="3"/>
  <c r="AB280" i="3"/>
  <c r="AB216" i="3"/>
  <c r="AB152" i="3"/>
  <c r="AB88" i="3"/>
  <c r="AB24" i="3"/>
  <c r="AB206" i="3"/>
  <c r="AB136" i="3"/>
  <c r="AB279" i="3"/>
  <c r="AB215" i="3"/>
  <c r="AB151" i="3"/>
  <c r="AB87" i="3"/>
  <c r="AB23" i="3"/>
  <c r="AB278" i="3"/>
  <c r="AB214" i="3"/>
  <c r="AB150" i="3"/>
  <c r="AB86" i="3"/>
  <c r="AB22" i="3"/>
  <c r="AB277" i="3"/>
  <c r="AB213" i="3"/>
  <c r="AB149" i="3"/>
  <c r="AB85" i="3"/>
  <c r="AB21" i="3"/>
  <c r="AB276" i="3"/>
  <c r="AB212" i="3"/>
  <c r="AB148" i="3"/>
  <c r="AB84" i="3"/>
  <c r="AB20" i="3"/>
  <c r="AB275" i="3"/>
  <c r="AB211" i="3"/>
  <c r="AB147" i="3"/>
  <c r="AB83" i="3"/>
  <c r="AB19" i="3"/>
  <c r="AB274" i="3"/>
  <c r="AB210" i="3"/>
  <c r="AB146" i="3"/>
  <c r="AB82" i="3"/>
  <c r="AB18" i="3"/>
  <c r="AB273" i="3"/>
  <c r="AB209" i="3"/>
  <c r="AB145" i="3"/>
  <c r="AB81" i="3"/>
  <c r="AB17" i="3"/>
  <c r="AB272" i="3"/>
  <c r="AB208" i="3"/>
  <c r="AB144" i="3"/>
  <c r="AB80" i="3"/>
  <c r="AD16" i="3"/>
  <c r="AD24" i="3"/>
  <c r="AD32" i="3"/>
  <c r="AD40" i="3"/>
  <c r="AD48" i="3"/>
  <c r="AD56" i="3"/>
  <c r="AD64" i="3"/>
  <c r="AD72" i="3"/>
  <c r="AD80" i="3"/>
  <c r="AD88" i="3"/>
  <c r="AD96" i="3"/>
  <c r="AD104" i="3"/>
  <c r="AD112" i="3"/>
  <c r="AD120" i="3"/>
  <c r="AD128" i="3"/>
  <c r="AD136" i="3"/>
  <c r="AD144" i="3"/>
  <c r="AD152" i="3"/>
  <c r="AD160" i="3"/>
  <c r="AD168" i="3"/>
  <c r="AD176" i="3"/>
  <c r="AD184" i="3"/>
  <c r="AD192" i="3"/>
  <c r="AD200" i="3"/>
  <c r="AD208" i="3"/>
  <c r="AD216" i="3"/>
  <c r="AD224" i="3"/>
  <c r="AD232" i="3"/>
  <c r="AD240" i="3"/>
  <c r="AD248" i="3"/>
  <c r="AD256" i="3"/>
  <c r="AD264" i="3"/>
  <c r="AD272" i="3"/>
  <c r="AD280" i="3"/>
  <c r="AD288" i="3"/>
  <c r="AD296" i="3"/>
  <c r="AD304" i="3"/>
  <c r="AD312" i="3"/>
  <c r="AD320" i="3"/>
  <c r="AD328" i="3"/>
  <c r="AD71" i="3"/>
  <c r="AD103" i="3"/>
  <c r="AD159" i="3"/>
  <c r="AD223" i="3"/>
  <c r="AD271" i="3"/>
  <c r="AD327" i="3"/>
  <c r="AD17" i="3"/>
  <c r="AD25" i="3"/>
  <c r="AD33" i="3"/>
  <c r="AD41" i="3"/>
  <c r="AD49" i="3"/>
  <c r="AD57" i="3"/>
  <c r="AD65" i="3"/>
  <c r="AD73" i="3"/>
  <c r="AD81" i="3"/>
  <c r="AD89" i="3"/>
  <c r="AD97" i="3"/>
  <c r="AD105" i="3"/>
  <c r="AD113" i="3"/>
  <c r="AD121" i="3"/>
  <c r="AD129" i="3"/>
  <c r="AD137" i="3"/>
  <c r="AD145" i="3"/>
  <c r="AD153" i="3"/>
  <c r="AD161" i="3"/>
  <c r="AD169" i="3"/>
  <c r="AD177" i="3"/>
  <c r="AD185" i="3"/>
  <c r="AD193" i="3"/>
  <c r="AD201" i="3"/>
  <c r="AD209" i="3"/>
  <c r="AD217" i="3"/>
  <c r="AD225" i="3"/>
  <c r="AD233" i="3"/>
  <c r="AD241" i="3"/>
  <c r="AD249" i="3"/>
  <c r="AD257" i="3"/>
  <c r="AD265" i="3"/>
  <c r="AD273" i="3"/>
  <c r="AD281" i="3"/>
  <c r="AD289" i="3"/>
  <c r="AD297" i="3"/>
  <c r="AD305" i="3"/>
  <c r="AD313" i="3"/>
  <c r="AD321" i="3"/>
  <c r="AD329" i="3"/>
  <c r="AD55" i="3"/>
  <c r="AD119" i="3"/>
  <c r="AD183" i="3"/>
  <c r="AD231" i="3"/>
  <c r="AD279" i="3"/>
  <c r="AD18" i="3"/>
  <c r="AD26" i="3"/>
  <c r="AD34" i="3"/>
  <c r="AD42" i="3"/>
  <c r="AD50" i="3"/>
  <c r="AD58" i="3"/>
  <c r="AD66" i="3"/>
  <c r="AD74" i="3"/>
  <c r="AD82" i="3"/>
  <c r="AD90" i="3"/>
  <c r="AD98" i="3"/>
  <c r="AD106" i="3"/>
  <c r="AD114" i="3"/>
  <c r="AD122" i="3"/>
  <c r="AD130" i="3"/>
  <c r="AD138" i="3"/>
  <c r="AD146" i="3"/>
  <c r="AD154" i="3"/>
  <c r="AD162" i="3"/>
  <c r="AD170" i="3"/>
  <c r="AD178" i="3"/>
  <c r="AD186" i="3"/>
  <c r="AD194" i="3"/>
  <c r="AD202" i="3"/>
  <c r="AD210" i="3"/>
  <c r="AD218" i="3"/>
  <c r="AD226" i="3"/>
  <c r="AD234" i="3"/>
  <c r="AD242" i="3"/>
  <c r="AD250" i="3"/>
  <c r="AD258" i="3"/>
  <c r="AD266" i="3"/>
  <c r="AD274" i="3"/>
  <c r="AD282" i="3"/>
  <c r="AD290" i="3"/>
  <c r="AD298" i="3"/>
  <c r="AD306" i="3"/>
  <c r="AD314" i="3"/>
  <c r="AD322" i="3"/>
  <c r="AD330" i="3"/>
  <c r="AD63" i="3"/>
  <c r="AD79" i="3"/>
  <c r="AD127" i="3"/>
  <c r="AD167" i="3"/>
  <c r="AD207" i="3"/>
  <c r="AD263" i="3"/>
  <c r="AD311" i="3"/>
  <c r="AD19" i="3"/>
  <c r="AD27" i="3"/>
  <c r="AD35" i="3"/>
  <c r="AD43" i="3"/>
  <c r="AD51" i="3"/>
  <c r="AD59" i="3"/>
  <c r="AD67" i="3"/>
  <c r="AD75" i="3"/>
  <c r="AD83" i="3"/>
  <c r="AD91" i="3"/>
  <c r="AD99" i="3"/>
  <c r="AD107" i="3"/>
  <c r="AD115" i="3"/>
  <c r="AD123" i="3"/>
  <c r="AD131" i="3"/>
  <c r="AD139" i="3"/>
  <c r="AD147" i="3"/>
  <c r="AD155" i="3"/>
  <c r="AD163" i="3"/>
  <c r="AD171" i="3"/>
  <c r="AD179" i="3"/>
  <c r="AD187" i="3"/>
  <c r="AD195" i="3"/>
  <c r="AD203" i="3"/>
  <c r="AD211" i="3"/>
  <c r="AD219" i="3"/>
  <c r="AD227" i="3"/>
  <c r="AD235" i="3"/>
  <c r="AD243" i="3"/>
  <c r="AD251" i="3"/>
  <c r="AD259" i="3"/>
  <c r="AD267" i="3"/>
  <c r="AD275" i="3"/>
  <c r="AD283" i="3"/>
  <c r="AD291" i="3"/>
  <c r="AD299" i="3"/>
  <c r="AD307" i="3"/>
  <c r="AD315" i="3"/>
  <c r="AD323" i="3"/>
  <c r="AD331" i="3"/>
  <c r="AD47" i="3"/>
  <c r="AD111" i="3"/>
  <c r="AD151" i="3"/>
  <c r="AD191" i="3"/>
  <c r="AD247" i="3"/>
  <c r="AD287" i="3"/>
  <c r="AD20" i="3"/>
  <c r="AD28" i="3"/>
  <c r="AD36" i="3"/>
  <c r="AD44" i="3"/>
  <c r="AD52" i="3"/>
  <c r="AD60" i="3"/>
  <c r="AD68" i="3"/>
  <c r="AD76" i="3"/>
  <c r="AD84" i="3"/>
  <c r="AD92" i="3"/>
  <c r="AD100" i="3"/>
  <c r="AD108" i="3"/>
  <c r="AD116" i="3"/>
  <c r="AD124" i="3"/>
  <c r="AD132" i="3"/>
  <c r="AD140" i="3"/>
  <c r="AD148" i="3"/>
  <c r="AD156" i="3"/>
  <c r="AD164" i="3"/>
  <c r="AD172" i="3"/>
  <c r="AD180" i="3"/>
  <c r="AD188" i="3"/>
  <c r="AD196" i="3"/>
  <c r="AD204" i="3"/>
  <c r="AD212" i="3"/>
  <c r="AD220" i="3"/>
  <c r="AD228" i="3"/>
  <c r="AD236" i="3"/>
  <c r="AD244" i="3"/>
  <c r="AD252" i="3"/>
  <c r="AD260" i="3"/>
  <c r="AD268" i="3"/>
  <c r="AD276" i="3"/>
  <c r="AD284" i="3"/>
  <c r="AD292" i="3"/>
  <c r="AD300" i="3"/>
  <c r="AD308" i="3"/>
  <c r="AD316" i="3"/>
  <c r="AD324" i="3"/>
  <c r="AD332" i="3"/>
  <c r="AD39" i="3"/>
  <c r="AD215" i="3"/>
  <c r="AD319" i="3"/>
  <c r="AD21" i="3"/>
  <c r="AD29" i="3"/>
  <c r="AD37" i="3"/>
  <c r="AD45" i="3"/>
  <c r="AD53" i="3"/>
  <c r="AD61" i="3"/>
  <c r="AD69" i="3"/>
  <c r="AD77" i="3"/>
  <c r="AD85" i="3"/>
  <c r="AD93" i="3"/>
  <c r="AD101" i="3"/>
  <c r="AD109" i="3"/>
  <c r="AD117" i="3"/>
  <c r="AD125" i="3"/>
  <c r="AD133" i="3"/>
  <c r="AD141" i="3"/>
  <c r="AD149" i="3"/>
  <c r="AD157" i="3"/>
  <c r="AD165" i="3"/>
  <c r="AD173" i="3"/>
  <c r="AD181" i="3"/>
  <c r="AD189" i="3"/>
  <c r="AD197" i="3"/>
  <c r="AD205" i="3"/>
  <c r="AD213" i="3"/>
  <c r="AD221" i="3"/>
  <c r="AD229" i="3"/>
  <c r="AD237" i="3"/>
  <c r="AD245" i="3"/>
  <c r="AD253" i="3"/>
  <c r="AD261" i="3"/>
  <c r="AD269" i="3"/>
  <c r="AD277" i="3"/>
  <c r="AD285" i="3"/>
  <c r="AD293" i="3"/>
  <c r="AD301" i="3"/>
  <c r="AD309" i="3"/>
  <c r="AD317" i="3"/>
  <c r="AD325" i="3"/>
  <c r="AD333" i="3"/>
  <c r="AD31" i="3"/>
  <c r="AD95" i="3"/>
  <c r="AD143" i="3"/>
  <c r="AD239" i="3"/>
  <c r="AD295" i="3"/>
  <c r="AD22" i="3"/>
  <c r="AD30" i="3"/>
  <c r="AD38" i="3"/>
  <c r="AD46" i="3"/>
  <c r="AD54" i="3"/>
  <c r="AD62" i="3"/>
  <c r="AD70" i="3"/>
  <c r="AD78" i="3"/>
  <c r="AD86" i="3"/>
  <c r="AD94" i="3"/>
  <c r="AD102" i="3"/>
  <c r="AD110" i="3"/>
  <c r="AD118" i="3"/>
  <c r="AD126" i="3"/>
  <c r="AD134" i="3"/>
  <c r="AD142" i="3"/>
  <c r="AD150" i="3"/>
  <c r="AD158" i="3"/>
  <c r="AD166" i="3"/>
  <c r="AD174" i="3"/>
  <c r="AD182" i="3"/>
  <c r="AD190" i="3"/>
  <c r="AD198" i="3"/>
  <c r="AD206" i="3"/>
  <c r="AD214" i="3"/>
  <c r="AD222" i="3"/>
  <c r="AD230" i="3"/>
  <c r="AD238" i="3"/>
  <c r="AD246" i="3"/>
  <c r="AD254" i="3"/>
  <c r="AD262" i="3"/>
  <c r="AD270" i="3"/>
  <c r="AD278" i="3"/>
  <c r="AD286" i="3"/>
  <c r="AD294" i="3"/>
  <c r="AD302" i="3"/>
  <c r="AD310" i="3"/>
  <c r="AD318" i="3"/>
  <c r="AD326" i="3"/>
  <c r="AD15" i="3"/>
  <c r="AD23" i="3"/>
  <c r="AD87" i="3"/>
  <c r="AD135" i="3"/>
  <c r="AD175" i="3"/>
  <c r="AD199" i="3"/>
  <c r="AD255" i="3"/>
  <c r="AD303" i="3"/>
  <c r="H8" i="2"/>
  <c r="O6" i="2"/>
  <c r="X6" i="3" s="1"/>
  <c r="C7" i="2"/>
  <c r="AA20" i="3" l="1"/>
  <c r="AA28" i="3"/>
  <c r="AA36" i="3"/>
  <c r="AA44" i="3"/>
  <c r="AA21" i="3"/>
  <c r="AA29" i="3"/>
  <c r="AA37" i="3"/>
  <c r="AA45" i="3"/>
  <c r="AA53" i="3"/>
  <c r="AA22" i="3"/>
  <c r="AA30" i="3"/>
  <c r="AA38" i="3"/>
  <c r="AA46" i="3"/>
  <c r="AA23" i="3"/>
  <c r="AA31" i="3"/>
  <c r="AA39" i="3"/>
  <c r="AA16" i="3"/>
  <c r="AA24" i="3"/>
  <c r="AA32" i="3"/>
  <c r="AA40" i="3"/>
  <c r="AA48" i="3"/>
  <c r="AA18" i="3"/>
  <c r="AA25" i="3"/>
  <c r="AA43" i="3"/>
  <c r="AA56" i="3"/>
  <c r="AA64" i="3"/>
  <c r="AA72" i="3"/>
  <c r="AA80" i="3"/>
  <c r="AA88" i="3"/>
  <c r="AA96" i="3"/>
  <c r="AA104" i="3"/>
  <c r="AA112" i="3"/>
  <c r="AA120" i="3"/>
  <c r="AA128" i="3"/>
  <c r="AA136" i="3"/>
  <c r="AA144" i="3"/>
  <c r="AA152" i="3"/>
  <c r="AA160" i="3"/>
  <c r="AA168" i="3"/>
  <c r="AA176" i="3"/>
  <c r="AA184" i="3"/>
  <c r="AA192" i="3"/>
  <c r="AA200" i="3"/>
  <c r="AA208" i="3"/>
  <c r="AA216" i="3"/>
  <c r="AA224" i="3"/>
  <c r="AA232" i="3"/>
  <c r="AA240" i="3"/>
  <c r="AA248" i="3"/>
  <c r="AA256" i="3"/>
  <c r="AA264" i="3"/>
  <c r="AA272" i="3"/>
  <c r="AA280" i="3"/>
  <c r="AA288" i="3"/>
  <c r="AA296" i="3"/>
  <c r="AA304" i="3"/>
  <c r="AA312" i="3"/>
  <c r="AA320" i="3"/>
  <c r="AA328" i="3"/>
  <c r="AA71" i="3"/>
  <c r="AA103" i="3"/>
  <c r="AA151" i="3"/>
  <c r="AA191" i="3"/>
  <c r="AA255" i="3"/>
  <c r="AA319" i="3"/>
  <c r="AA26" i="3"/>
  <c r="AA47" i="3"/>
  <c r="AA57" i="3"/>
  <c r="AA65" i="3"/>
  <c r="AA73" i="3"/>
  <c r="AA81" i="3"/>
  <c r="AA89" i="3"/>
  <c r="AA97" i="3"/>
  <c r="AA105" i="3"/>
  <c r="AA113" i="3"/>
  <c r="AA121" i="3"/>
  <c r="AA129" i="3"/>
  <c r="AA137" i="3"/>
  <c r="AA145" i="3"/>
  <c r="AA153" i="3"/>
  <c r="AA161" i="3"/>
  <c r="AA169" i="3"/>
  <c r="AA177" i="3"/>
  <c r="AA185" i="3"/>
  <c r="AA193" i="3"/>
  <c r="AA201" i="3"/>
  <c r="AA209" i="3"/>
  <c r="AA217" i="3"/>
  <c r="AA225" i="3"/>
  <c r="AA233" i="3"/>
  <c r="AA241" i="3"/>
  <c r="AA249" i="3"/>
  <c r="AA257" i="3"/>
  <c r="AA265" i="3"/>
  <c r="AA273" i="3"/>
  <c r="AA281" i="3"/>
  <c r="AA289" i="3"/>
  <c r="AA297" i="3"/>
  <c r="AA305" i="3"/>
  <c r="AA313" i="3"/>
  <c r="AA321" i="3"/>
  <c r="AA329" i="3"/>
  <c r="AA55" i="3"/>
  <c r="AA95" i="3"/>
  <c r="AA135" i="3"/>
  <c r="AA175" i="3"/>
  <c r="AA199" i="3"/>
  <c r="AA239" i="3"/>
  <c r="AA271" i="3"/>
  <c r="AA311" i="3"/>
  <c r="AA27" i="3"/>
  <c r="AA49" i="3"/>
  <c r="AA58" i="3"/>
  <c r="AA66" i="3"/>
  <c r="AA74" i="3"/>
  <c r="AA82" i="3"/>
  <c r="AA90" i="3"/>
  <c r="AA98" i="3"/>
  <c r="AA106" i="3"/>
  <c r="AA114" i="3"/>
  <c r="AA122" i="3"/>
  <c r="AA130" i="3"/>
  <c r="AA138" i="3"/>
  <c r="AA146" i="3"/>
  <c r="AA154" i="3"/>
  <c r="AA162" i="3"/>
  <c r="AA170" i="3"/>
  <c r="AA178" i="3"/>
  <c r="AA186" i="3"/>
  <c r="AA194" i="3"/>
  <c r="AA202" i="3"/>
  <c r="AA210" i="3"/>
  <c r="AA218" i="3"/>
  <c r="AA226" i="3"/>
  <c r="AA234" i="3"/>
  <c r="AA242" i="3"/>
  <c r="AA250" i="3"/>
  <c r="AA258" i="3"/>
  <c r="AA266" i="3"/>
  <c r="AA274" i="3"/>
  <c r="AA282" i="3"/>
  <c r="AA290" i="3"/>
  <c r="AA298" i="3"/>
  <c r="AA306" i="3"/>
  <c r="AA314" i="3"/>
  <c r="AA322" i="3"/>
  <c r="AA330" i="3"/>
  <c r="AA42" i="3"/>
  <c r="AA79" i="3"/>
  <c r="AA111" i="3"/>
  <c r="AA159" i="3"/>
  <c r="AA215" i="3"/>
  <c r="AA287" i="3"/>
  <c r="AA327" i="3"/>
  <c r="AA33" i="3"/>
  <c r="AA50" i="3"/>
  <c r="AA59" i="3"/>
  <c r="AA67" i="3"/>
  <c r="AA75" i="3"/>
  <c r="AA83" i="3"/>
  <c r="AA91" i="3"/>
  <c r="AA99" i="3"/>
  <c r="AA107" i="3"/>
  <c r="AA115" i="3"/>
  <c r="AA123" i="3"/>
  <c r="AA131" i="3"/>
  <c r="AA139" i="3"/>
  <c r="AA147" i="3"/>
  <c r="AA155" i="3"/>
  <c r="AA163" i="3"/>
  <c r="AA171" i="3"/>
  <c r="AA179" i="3"/>
  <c r="AA187" i="3"/>
  <c r="AA195" i="3"/>
  <c r="AA203" i="3"/>
  <c r="AA211" i="3"/>
  <c r="AA219" i="3"/>
  <c r="AA227" i="3"/>
  <c r="AA235" i="3"/>
  <c r="AA243" i="3"/>
  <c r="AA251" i="3"/>
  <c r="AA259" i="3"/>
  <c r="AA267" i="3"/>
  <c r="AA275" i="3"/>
  <c r="AA283" i="3"/>
  <c r="AA291" i="3"/>
  <c r="AA299" i="3"/>
  <c r="AA307" i="3"/>
  <c r="AA315" i="3"/>
  <c r="AA323" i="3"/>
  <c r="AA331" i="3"/>
  <c r="AA63" i="3"/>
  <c r="AA119" i="3"/>
  <c r="AA167" i="3"/>
  <c r="AA231" i="3"/>
  <c r="AA295" i="3"/>
  <c r="AA34" i="3"/>
  <c r="AA51" i="3"/>
  <c r="AA60" i="3"/>
  <c r="AA68" i="3"/>
  <c r="AA76" i="3"/>
  <c r="AA84" i="3"/>
  <c r="AA92" i="3"/>
  <c r="AA100" i="3"/>
  <c r="AA108" i="3"/>
  <c r="AA116" i="3"/>
  <c r="AA124" i="3"/>
  <c r="AA132" i="3"/>
  <c r="AA140" i="3"/>
  <c r="AA148" i="3"/>
  <c r="AA156" i="3"/>
  <c r="AA164" i="3"/>
  <c r="AA172" i="3"/>
  <c r="AA180" i="3"/>
  <c r="AA188" i="3"/>
  <c r="AA196" i="3"/>
  <c r="AA204" i="3"/>
  <c r="AA212" i="3"/>
  <c r="AA220" i="3"/>
  <c r="AA228" i="3"/>
  <c r="AA236" i="3"/>
  <c r="AA244" i="3"/>
  <c r="AA252" i="3"/>
  <c r="AA260" i="3"/>
  <c r="AA268" i="3"/>
  <c r="AA276" i="3"/>
  <c r="AA284" i="3"/>
  <c r="AA292" i="3"/>
  <c r="AA300" i="3"/>
  <c r="AA308" i="3"/>
  <c r="AA316" i="3"/>
  <c r="AA324" i="3"/>
  <c r="AA332" i="3"/>
  <c r="AA19" i="3"/>
  <c r="AA247" i="3"/>
  <c r="AA35" i="3"/>
  <c r="AA52" i="3"/>
  <c r="AA61" i="3"/>
  <c r="AA69" i="3"/>
  <c r="AA77" i="3"/>
  <c r="AA85" i="3"/>
  <c r="AA93" i="3"/>
  <c r="AA101" i="3"/>
  <c r="AA109" i="3"/>
  <c r="AA117" i="3"/>
  <c r="AA125" i="3"/>
  <c r="AA133" i="3"/>
  <c r="AA141" i="3"/>
  <c r="AA149" i="3"/>
  <c r="AA157" i="3"/>
  <c r="AA165" i="3"/>
  <c r="AA173" i="3"/>
  <c r="AA181" i="3"/>
  <c r="AA189" i="3"/>
  <c r="AA197" i="3"/>
  <c r="AA205" i="3"/>
  <c r="AA213" i="3"/>
  <c r="AA221" i="3"/>
  <c r="AA229" i="3"/>
  <c r="AA237" i="3"/>
  <c r="AA245" i="3"/>
  <c r="AA253" i="3"/>
  <c r="AA261" i="3"/>
  <c r="AA269" i="3"/>
  <c r="AA277" i="3"/>
  <c r="AA285" i="3"/>
  <c r="AA293" i="3"/>
  <c r="AA301" i="3"/>
  <c r="AA309" i="3"/>
  <c r="AA317" i="3"/>
  <c r="AA325" i="3"/>
  <c r="AA333" i="3"/>
  <c r="AA127" i="3"/>
  <c r="AA183" i="3"/>
  <c r="AA223" i="3"/>
  <c r="AA263" i="3"/>
  <c r="AA303" i="3"/>
  <c r="AA17" i="3"/>
  <c r="AA41" i="3"/>
  <c r="AA54" i="3"/>
  <c r="AA62" i="3"/>
  <c r="AA70" i="3"/>
  <c r="AA78" i="3"/>
  <c r="AA86" i="3"/>
  <c r="AA94" i="3"/>
  <c r="AA102" i="3"/>
  <c r="AA110" i="3"/>
  <c r="AA118" i="3"/>
  <c r="AA126" i="3"/>
  <c r="AA134" i="3"/>
  <c r="AA142" i="3"/>
  <c r="AA150" i="3"/>
  <c r="AA158" i="3"/>
  <c r="AA166" i="3"/>
  <c r="AA174" i="3"/>
  <c r="AA182" i="3"/>
  <c r="AA190" i="3"/>
  <c r="AA198" i="3"/>
  <c r="AA206" i="3"/>
  <c r="AA214" i="3"/>
  <c r="AA222" i="3"/>
  <c r="AA230" i="3"/>
  <c r="AA238" i="3"/>
  <c r="AA246" i="3"/>
  <c r="AA254" i="3"/>
  <c r="AA262" i="3"/>
  <c r="AA270" i="3"/>
  <c r="AA278" i="3"/>
  <c r="AA286" i="3"/>
  <c r="AA294" i="3"/>
  <c r="AA302" i="3"/>
  <c r="AA310" i="3"/>
  <c r="AA318" i="3"/>
  <c r="AA326" i="3"/>
  <c r="AA15" i="3"/>
  <c r="AA87" i="3"/>
  <c r="AA143" i="3"/>
  <c r="AA207" i="3"/>
  <c r="AA279" i="3"/>
  <c r="AC94" i="3"/>
  <c r="AC225" i="3"/>
  <c r="AC318" i="3"/>
  <c r="AC110" i="3"/>
  <c r="AC199" i="3"/>
  <c r="AC286" i="3"/>
  <c r="AC78" i="3"/>
  <c r="AC213" i="3"/>
  <c r="AC308" i="3"/>
  <c r="AC126" i="3"/>
  <c r="AC173" i="3"/>
  <c r="AC238" i="3"/>
  <c r="AC276" i="3"/>
  <c r="AC62" i="3"/>
  <c r="AC30" i="3"/>
  <c r="AC142" i="3"/>
  <c r="AC188" i="3"/>
  <c r="AC252" i="3"/>
  <c r="AC297" i="3"/>
  <c r="AC46" i="3"/>
  <c r="AC158" i="3"/>
  <c r="AC263" i="3"/>
  <c r="AC329" i="3"/>
  <c r="AC28" i="3"/>
  <c r="AC249" i="3"/>
  <c r="AC141" i="3"/>
  <c r="AC326" i="3"/>
  <c r="AC236" i="3"/>
  <c r="AC124" i="3"/>
  <c r="AC32" i="3"/>
  <c r="AC96" i="3"/>
  <c r="AC160" i="3"/>
  <c r="AC224" i="3"/>
  <c r="AC288" i="3"/>
  <c r="AC33" i="3"/>
  <c r="AC97" i="3"/>
  <c r="AC161" i="3"/>
  <c r="AC66" i="3"/>
  <c r="AC130" i="3"/>
  <c r="AC194" i="3"/>
  <c r="AC258" i="3"/>
  <c r="AC322" i="3"/>
  <c r="AC27" i="3"/>
  <c r="AC91" i="3"/>
  <c r="AC155" i="3"/>
  <c r="AC219" i="3"/>
  <c r="AC260" i="3"/>
  <c r="AC151" i="3"/>
  <c r="AC23" i="3"/>
  <c r="AC245" i="3"/>
  <c r="AC134" i="3"/>
  <c r="AC333" i="3"/>
  <c r="AC244" i="3"/>
  <c r="AC133" i="3"/>
  <c r="AC332" i="3"/>
  <c r="AC241" i="3"/>
  <c r="AC132" i="3"/>
  <c r="AC331" i="3"/>
  <c r="AC239" i="3"/>
  <c r="AC127" i="3"/>
  <c r="AC327" i="3"/>
  <c r="AC237" i="3"/>
  <c r="AC125" i="3"/>
  <c r="AC316" i="3"/>
  <c r="AC222" i="3"/>
  <c r="AC108" i="3"/>
  <c r="AC40" i="3"/>
  <c r="AC104" i="3"/>
  <c r="AC168" i="3"/>
  <c r="AC232" i="3"/>
  <c r="AC296" i="3"/>
  <c r="AC41" i="3"/>
  <c r="AC105" i="3"/>
  <c r="AC177" i="3"/>
  <c r="AC74" i="3"/>
  <c r="AC138" i="3"/>
  <c r="AC202" i="3"/>
  <c r="AC266" i="3"/>
  <c r="AC330" i="3"/>
  <c r="AC35" i="3"/>
  <c r="AC99" i="3"/>
  <c r="AC163" i="3"/>
  <c r="AC227" i="3"/>
  <c r="AC246" i="3"/>
  <c r="AC135" i="3"/>
  <c r="AC324" i="3"/>
  <c r="AC231" i="3"/>
  <c r="AC118" i="3"/>
  <c r="AC323" i="3"/>
  <c r="AC230" i="3"/>
  <c r="AC117" i="3"/>
  <c r="AC321" i="3"/>
  <c r="AC229" i="3"/>
  <c r="AC116" i="3"/>
  <c r="AC319" i="3"/>
  <c r="AC228" i="3"/>
  <c r="AC111" i="3"/>
  <c r="AC317" i="3"/>
  <c r="AC223" i="3"/>
  <c r="AC109" i="3"/>
  <c r="AC305" i="3"/>
  <c r="AC209" i="3"/>
  <c r="AC92" i="3"/>
  <c r="AC48" i="3"/>
  <c r="AC112" i="3"/>
  <c r="AC176" i="3"/>
  <c r="AC240" i="3"/>
  <c r="AC304" i="3"/>
  <c r="AC49" i="3"/>
  <c r="AC113" i="3"/>
  <c r="AC18" i="3"/>
  <c r="AC82" i="3"/>
  <c r="AC146" i="3"/>
  <c r="AC210" i="3"/>
  <c r="AC274" i="3"/>
  <c r="AC235" i="3"/>
  <c r="AC43" i="3"/>
  <c r="AC107" i="3"/>
  <c r="AC171" i="3"/>
  <c r="AC325" i="3"/>
  <c r="AC233" i="3"/>
  <c r="AC119" i="3"/>
  <c r="AC313" i="3"/>
  <c r="AC220" i="3"/>
  <c r="AC102" i="3"/>
  <c r="AC311" i="3"/>
  <c r="AC217" i="3"/>
  <c r="AC101" i="3"/>
  <c r="AC310" i="3"/>
  <c r="AC215" i="3"/>
  <c r="AC100" i="3"/>
  <c r="AC309" i="3"/>
  <c r="AC214" i="3"/>
  <c r="AC95" i="3"/>
  <c r="AC307" i="3"/>
  <c r="AC212" i="3"/>
  <c r="AC93" i="3"/>
  <c r="AC294" i="3"/>
  <c r="AC197" i="3"/>
  <c r="AC76" i="3"/>
  <c r="AC56" i="3"/>
  <c r="AC120" i="3"/>
  <c r="AC184" i="3"/>
  <c r="AC248" i="3"/>
  <c r="AC312" i="3"/>
  <c r="AC57" i="3"/>
  <c r="AC121" i="3"/>
  <c r="AC26" i="3"/>
  <c r="AC90" i="3"/>
  <c r="AC154" i="3"/>
  <c r="AC218" i="3"/>
  <c r="AC282" i="3"/>
  <c r="AC243" i="3"/>
  <c r="AC51" i="3"/>
  <c r="AC115" i="3"/>
  <c r="AC179" i="3"/>
  <c r="AC315" i="3"/>
  <c r="AC221" i="3"/>
  <c r="AC103" i="3"/>
  <c r="AC302" i="3"/>
  <c r="AC206" i="3"/>
  <c r="AC86" i="3"/>
  <c r="AC301" i="3"/>
  <c r="AC205" i="3"/>
  <c r="AC85" i="3"/>
  <c r="AC300" i="3"/>
  <c r="AC204" i="3"/>
  <c r="AC84" i="3"/>
  <c r="AC299" i="3"/>
  <c r="AC201" i="3"/>
  <c r="AC79" i="3"/>
  <c r="AC295" i="3"/>
  <c r="AC198" i="3"/>
  <c r="AC77" i="3"/>
  <c r="AC284" i="3"/>
  <c r="AC183" i="3"/>
  <c r="AC60" i="3"/>
  <c r="AC64" i="3"/>
  <c r="AC128" i="3"/>
  <c r="AC192" i="3"/>
  <c r="AC256" i="3"/>
  <c r="AC320" i="3"/>
  <c r="AC65" i="3"/>
  <c r="AC129" i="3"/>
  <c r="AC34" i="3"/>
  <c r="AC98" i="3"/>
  <c r="AC162" i="3"/>
  <c r="AC226" i="3"/>
  <c r="AC290" i="3"/>
  <c r="AC251" i="3"/>
  <c r="AC59" i="3"/>
  <c r="AC123" i="3"/>
  <c r="AC187" i="3"/>
  <c r="AC303" i="3"/>
  <c r="AC207" i="3"/>
  <c r="AC87" i="3"/>
  <c r="AC292" i="3"/>
  <c r="AC193" i="3"/>
  <c r="AC70" i="3"/>
  <c r="AC291" i="3"/>
  <c r="AC191" i="3"/>
  <c r="AC69" i="3"/>
  <c r="AC289" i="3"/>
  <c r="AC190" i="3"/>
  <c r="AC68" i="3"/>
  <c r="AC287" i="3"/>
  <c r="AC189" i="3"/>
  <c r="AC63" i="3"/>
  <c r="AC285" i="3"/>
  <c r="AC185" i="3"/>
  <c r="AC61" i="3"/>
  <c r="AC273" i="3"/>
  <c r="AC169" i="3"/>
  <c r="AC44" i="3"/>
  <c r="AC72" i="3"/>
  <c r="AC136" i="3"/>
  <c r="AC200" i="3"/>
  <c r="AC264" i="3"/>
  <c r="AC328" i="3"/>
  <c r="AC73" i="3"/>
  <c r="AC137" i="3"/>
  <c r="AC42" i="3"/>
  <c r="AC106" i="3"/>
  <c r="AC170" i="3"/>
  <c r="AC234" i="3"/>
  <c r="AC298" i="3"/>
  <c r="AC259" i="3"/>
  <c r="AC67" i="3"/>
  <c r="AC131" i="3"/>
  <c r="AC195" i="3"/>
  <c r="AC293" i="3"/>
  <c r="AC196" i="3"/>
  <c r="AC71" i="3"/>
  <c r="AC281" i="3"/>
  <c r="AC181" i="3"/>
  <c r="AC54" i="3"/>
  <c r="AC279" i="3"/>
  <c r="AC180" i="3"/>
  <c r="AC53" i="3"/>
  <c r="AC278" i="3"/>
  <c r="AC175" i="3"/>
  <c r="AC52" i="3"/>
  <c r="AC277" i="3"/>
  <c r="AC174" i="3"/>
  <c r="AC47" i="3"/>
  <c r="AC275" i="3"/>
  <c r="AC172" i="3"/>
  <c r="AC45" i="3"/>
  <c r="AC261" i="3"/>
  <c r="AC156" i="3"/>
  <c r="AC16" i="3"/>
  <c r="AC80" i="3"/>
  <c r="AC144" i="3"/>
  <c r="AC208" i="3"/>
  <c r="AC272" i="3"/>
  <c r="AC17" i="3"/>
  <c r="AC81" i="3"/>
  <c r="AC145" i="3"/>
  <c r="AC50" i="3"/>
  <c r="AC114" i="3"/>
  <c r="AC178" i="3"/>
  <c r="AC242" i="3"/>
  <c r="AC306" i="3"/>
  <c r="AC267" i="3"/>
  <c r="AC75" i="3"/>
  <c r="AC139" i="3"/>
  <c r="AC203" i="3"/>
  <c r="AC283" i="3"/>
  <c r="AC182" i="3"/>
  <c r="AC55" i="3"/>
  <c r="AC270" i="3"/>
  <c r="AC166" i="3"/>
  <c r="AC38" i="3"/>
  <c r="AC269" i="3"/>
  <c r="AC165" i="3"/>
  <c r="AC37" i="3"/>
  <c r="AC268" i="3"/>
  <c r="AC164" i="3"/>
  <c r="AC36" i="3"/>
  <c r="AC265" i="3"/>
  <c r="AC159" i="3"/>
  <c r="AC31" i="3"/>
  <c r="AC262" i="3"/>
  <c r="AC157" i="3"/>
  <c r="AC29" i="3"/>
  <c r="AC247" i="3"/>
  <c r="AC140" i="3"/>
  <c r="AC24" i="3"/>
  <c r="AC88" i="3"/>
  <c r="AC152" i="3"/>
  <c r="AC216" i="3"/>
  <c r="AC280" i="3"/>
  <c r="AC25" i="3"/>
  <c r="AC89" i="3"/>
  <c r="AC153" i="3"/>
  <c r="AC58" i="3"/>
  <c r="AC122" i="3"/>
  <c r="AC186" i="3"/>
  <c r="AC250" i="3"/>
  <c r="AC314" i="3"/>
  <c r="AC19" i="3"/>
  <c r="AC83" i="3"/>
  <c r="AC147" i="3"/>
  <c r="AC211" i="3"/>
  <c r="AC271" i="3"/>
  <c r="AC167" i="3"/>
  <c r="AC39" i="3"/>
  <c r="AC257" i="3"/>
  <c r="AC150" i="3"/>
  <c r="AC22" i="3"/>
  <c r="AC255" i="3"/>
  <c r="AC149" i="3"/>
  <c r="AC21" i="3"/>
  <c r="AC254" i="3"/>
  <c r="AC148" i="3"/>
  <c r="AC20" i="3"/>
  <c r="AC253" i="3"/>
  <c r="AC143" i="3"/>
  <c r="AC15" i="3"/>
  <c r="X3" i="3"/>
  <c r="Q6" i="2"/>
  <c r="X114" i="3" l="1"/>
  <c r="X74" i="3"/>
  <c r="X138" i="3"/>
  <c r="X329" i="3"/>
  <c r="X177" i="3"/>
  <c r="X113" i="3"/>
  <c r="X296" i="3"/>
  <c r="X232" i="3"/>
  <c r="X217" i="3"/>
  <c r="X278" i="3"/>
  <c r="X246" i="3"/>
  <c r="X182" i="3"/>
  <c r="X301" i="3"/>
  <c r="X277" i="3"/>
  <c r="X189" i="3"/>
  <c r="X315" i="3"/>
  <c r="X184" i="3"/>
  <c r="X168" i="3"/>
  <c r="X327" i="3"/>
  <c r="X263" i="3"/>
  <c r="X199" i="3"/>
  <c r="X117" i="3"/>
  <c r="X53" i="3"/>
  <c r="X276" i="3"/>
  <c r="X212" i="3"/>
  <c r="X211" i="3"/>
  <c r="X147" i="3"/>
  <c r="X73" i="3"/>
  <c r="X96" i="3"/>
  <c r="X32" i="3"/>
  <c r="X143" i="3"/>
  <c r="X79" i="3"/>
  <c r="X154" i="3"/>
  <c r="X18" i="3"/>
  <c r="X258" i="3"/>
  <c r="X266" i="3"/>
  <c r="X233" i="3"/>
  <c r="X201" i="3"/>
  <c r="X137" i="3"/>
  <c r="X320" i="3"/>
  <c r="X256" i="3"/>
  <c r="X192" i="3"/>
  <c r="X328" i="3"/>
  <c r="X206" i="3"/>
  <c r="X142" i="3"/>
  <c r="X310" i="3"/>
  <c r="X165" i="3"/>
  <c r="X275" i="3"/>
  <c r="X128" i="3"/>
  <c r="X287" i="3"/>
  <c r="X223" i="3"/>
  <c r="X159" i="3"/>
  <c r="X77" i="3"/>
  <c r="X300" i="3"/>
  <c r="X236" i="3"/>
  <c r="X172" i="3"/>
  <c r="X235" i="3"/>
  <c r="X171" i="3"/>
  <c r="X33" i="3"/>
  <c r="X56" i="3"/>
  <c r="X103" i="3"/>
  <c r="X39" i="3"/>
  <c r="X322" i="3"/>
  <c r="X242" i="3"/>
  <c r="X106" i="3"/>
  <c r="X257" i="3"/>
  <c r="X314" i="3"/>
  <c r="X58" i="3"/>
  <c r="X161" i="3"/>
  <c r="X97" i="3"/>
  <c r="X280" i="3"/>
  <c r="X216" i="3"/>
  <c r="X302" i="3"/>
  <c r="X270" i="3"/>
  <c r="X230" i="3"/>
  <c r="X166" i="3"/>
  <c r="X309" i="3"/>
  <c r="X317" i="3"/>
  <c r="X299" i="3"/>
  <c r="X152" i="3"/>
  <c r="X311" i="3"/>
  <c r="X247" i="3"/>
  <c r="X183" i="3"/>
  <c r="X141" i="3"/>
  <c r="X101" i="3"/>
  <c r="X178" i="3"/>
  <c r="X289" i="3"/>
  <c r="X98" i="3"/>
  <c r="X290" i="3"/>
  <c r="X186" i="3"/>
  <c r="X146" i="3"/>
  <c r="X250" i="3"/>
  <c r="X202" i="3"/>
  <c r="X313" i="3"/>
  <c r="X323" i="3"/>
  <c r="X185" i="3"/>
  <c r="X121" i="3"/>
  <c r="X304" i="3"/>
  <c r="X240" i="3"/>
  <c r="X254" i="3"/>
  <c r="X190" i="3"/>
  <c r="X262" i="3"/>
  <c r="X237" i="3"/>
  <c r="X213" i="3"/>
  <c r="X15" i="3"/>
  <c r="X293" i="3"/>
  <c r="X269" i="3"/>
  <c r="X259" i="3"/>
  <c r="X176" i="3"/>
  <c r="X271" i="3"/>
  <c r="X207" i="3"/>
  <c r="X61" i="3"/>
  <c r="X284" i="3"/>
  <c r="X220" i="3"/>
  <c r="X156" i="3"/>
  <c r="X219" i="3"/>
  <c r="X155" i="3"/>
  <c r="X234" i="3"/>
  <c r="X42" i="3"/>
  <c r="X305" i="3"/>
  <c r="X50" i="3"/>
  <c r="X281" i="3"/>
  <c r="X249" i="3"/>
  <c r="X265" i="3"/>
  <c r="X225" i="3"/>
  <c r="X209" i="3"/>
  <c r="X145" i="3"/>
  <c r="X264" i="3"/>
  <c r="X200" i="3"/>
  <c r="X294" i="3"/>
  <c r="X214" i="3"/>
  <c r="X150" i="3"/>
  <c r="X333" i="3"/>
  <c r="X181" i="3"/>
  <c r="X157" i="3"/>
  <c r="X149" i="3"/>
  <c r="X283" i="3"/>
  <c r="X136" i="3"/>
  <c r="X295" i="3"/>
  <c r="X231" i="3"/>
  <c r="X167" i="3"/>
  <c r="X126" i="3"/>
  <c r="X125" i="3"/>
  <c r="X85" i="3"/>
  <c r="X308" i="3"/>
  <c r="X244" i="3"/>
  <c r="X180" i="3"/>
  <c r="X243" i="3"/>
  <c r="X179" i="3"/>
  <c r="X41" i="3"/>
  <c r="X64" i="3"/>
  <c r="X226" i="3"/>
  <c r="X306" i="3"/>
  <c r="X122" i="3"/>
  <c r="X321" i="3"/>
  <c r="X330" i="3"/>
  <c r="X130" i="3"/>
  <c r="X273" i="3"/>
  <c r="X274" i="3"/>
  <c r="X82" i="3"/>
  <c r="X331" i="3"/>
  <c r="X193" i="3"/>
  <c r="X129" i="3"/>
  <c r="X312" i="3"/>
  <c r="X248" i="3"/>
  <c r="X318" i="3"/>
  <c r="X198" i="3"/>
  <c r="X173" i="3"/>
  <c r="X267" i="3"/>
  <c r="X120" i="3"/>
  <c r="X279" i="3"/>
  <c r="X215" i="3"/>
  <c r="X69" i="3"/>
  <c r="X292" i="3"/>
  <c r="X228" i="3"/>
  <c r="X164" i="3"/>
  <c r="X227" i="3"/>
  <c r="X163" i="3"/>
  <c r="X89" i="3"/>
  <c r="X25" i="3"/>
  <c r="X112" i="3"/>
  <c r="X48" i="3"/>
  <c r="X162" i="3"/>
  <c r="X66" i="3"/>
  <c r="X26" i="3"/>
  <c r="X210" i="3"/>
  <c r="X170" i="3"/>
  <c r="X153" i="3"/>
  <c r="X298" i="3"/>
  <c r="X285" i="3"/>
  <c r="X160" i="3"/>
  <c r="X332" i="3"/>
  <c r="X196" i="3"/>
  <c r="X195" i="3"/>
  <c r="X49" i="3"/>
  <c r="X72" i="3"/>
  <c r="X24" i="3"/>
  <c r="X119" i="3"/>
  <c r="X94" i="3"/>
  <c r="X30" i="3"/>
  <c r="X37" i="3"/>
  <c r="X148" i="3"/>
  <c r="X84" i="3"/>
  <c r="X20" i="3"/>
  <c r="X83" i="3"/>
  <c r="X19" i="3"/>
  <c r="X43" i="3"/>
  <c r="X40" i="3"/>
  <c r="X16" i="3"/>
  <c r="X135" i="3"/>
  <c r="X92" i="3"/>
  <c r="X91" i="3"/>
  <c r="X27" i="3"/>
  <c r="X282" i="3"/>
  <c r="X158" i="3"/>
  <c r="X286" i="3"/>
  <c r="X245" i="3"/>
  <c r="X175" i="3"/>
  <c r="X133" i="3"/>
  <c r="X260" i="3"/>
  <c r="X123" i="3"/>
  <c r="X63" i="3"/>
  <c r="X47" i="3"/>
  <c r="X31" i="3"/>
  <c r="X118" i="3"/>
  <c r="X54" i="3"/>
  <c r="X108" i="3"/>
  <c r="X44" i="3"/>
  <c r="X107" i="3"/>
  <c r="X188" i="3"/>
  <c r="X132" i="3"/>
  <c r="X67" i="3"/>
  <c r="X70" i="3"/>
  <c r="X124" i="3"/>
  <c r="X218" i="3"/>
  <c r="X105" i="3"/>
  <c r="X288" i="3"/>
  <c r="X241" i="3"/>
  <c r="X319" i="3"/>
  <c r="X324" i="3"/>
  <c r="X187" i="3"/>
  <c r="X17" i="3"/>
  <c r="X78" i="3"/>
  <c r="X21" i="3"/>
  <c r="X68" i="3"/>
  <c r="X59" i="3"/>
  <c r="X194" i="3"/>
  <c r="X229" i="3"/>
  <c r="X253" i="3"/>
  <c r="X144" i="3"/>
  <c r="X252" i="3"/>
  <c r="X251" i="3"/>
  <c r="X65" i="3"/>
  <c r="X88" i="3"/>
  <c r="X151" i="3"/>
  <c r="X111" i="3"/>
  <c r="X95" i="3"/>
  <c r="X102" i="3"/>
  <c r="X38" i="3"/>
  <c r="X45" i="3"/>
  <c r="X28" i="3"/>
  <c r="X224" i="3"/>
  <c r="X238" i="3"/>
  <c r="X205" i="3"/>
  <c r="X221" i="3"/>
  <c r="X307" i="3"/>
  <c r="X255" i="3"/>
  <c r="X109" i="3"/>
  <c r="X316" i="3"/>
  <c r="X127" i="3"/>
  <c r="X23" i="3"/>
  <c r="X62" i="3"/>
  <c r="X116" i="3"/>
  <c r="X52" i="3"/>
  <c r="X115" i="3"/>
  <c r="X51" i="3"/>
  <c r="X86" i="3"/>
  <c r="X22" i="3"/>
  <c r="X29" i="3"/>
  <c r="X140" i="3"/>
  <c r="X76" i="3"/>
  <c r="X75" i="3"/>
  <c r="X90" i="3"/>
  <c r="X169" i="3"/>
  <c r="X272" i="3"/>
  <c r="X325" i="3"/>
  <c r="X303" i="3"/>
  <c r="X134" i="3"/>
  <c r="X139" i="3"/>
  <c r="X57" i="3"/>
  <c r="X80" i="3"/>
  <c r="X34" i="3"/>
  <c r="X174" i="3"/>
  <c r="X326" i="3"/>
  <c r="X197" i="3"/>
  <c r="X191" i="3"/>
  <c r="X204" i="3"/>
  <c r="X203" i="3"/>
  <c r="X81" i="3"/>
  <c r="X104" i="3"/>
  <c r="X87" i="3"/>
  <c r="X71" i="3"/>
  <c r="X55" i="3"/>
  <c r="X110" i="3"/>
  <c r="X46" i="3"/>
  <c r="X100" i="3"/>
  <c r="X36" i="3"/>
  <c r="X99" i="3"/>
  <c r="X35" i="3"/>
  <c r="X297" i="3"/>
  <c r="X208" i="3"/>
  <c r="X222" i="3"/>
  <c r="X261" i="3"/>
  <c r="X291" i="3"/>
  <c r="X239" i="3"/>
  <c r="X93" i="3"/>
  <c r="X268" i="3"/>
  <c r="X131" i="3"/>
  <c r="X60" i="3"/>
  <c r="O4" i="2"/>
  <c r="X4" i="3" s="1"/>
  <c r="O5" i="2"/>
  <c r="X5" i="3" s="1"/>
  <c r="X2" i="3"/>
  <c r="Q3" i="2"/>
  <c r="Q2" i="2"/>
  <c r="Y16" i="3" l="1"/>
  <c r="Y24" i="3"/>
  <c r="Y32" i="3"/>
  <c r="Y40" i="3"/>
  <c r="Y48" i="3"/>
  <c r="Y56" i="3"/>
  <c r="Y64" i="3"/>
  <c r="Y72" i="3"/>
  <c r="Y80" i="3"/>
  <c r="Y88" i="3"/>
  <c r="Y96" i="3"/>
  <c r="Y104" i="3"/>
  <c r="Y112" i="3"/>
  <c r="Y120" i="3"/>
  <c r="Y128" i="3"/>
  <c r="Y136" i="3"/>
  <c r="Y144" i="3"/>
  <c r="Y152" i="3"/>
  <c r="Y160" i="3"/>
  <c r="Y168" i="3"/>
  <c r="Y176" i="3"/>
  <c r="Y184" i="3"/>
  <c r="Y192" i="3"/>
  <c r="Y200" i="3"/>
  <c r="Y208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17" i="3"/>
  <c r="Y25" i="3"/>
  <c r="Y33" i="3"/>
  <c r="Y41" i="3"/>
  <c r="Y49" i="3"/>
  <c r="Y57" i="3"/>
  <c r="Y65" i="3"/>
  <c r="Y73" i="3"/>
  <c r="Y81" i="3"/>
  <c r="Y89" i="3"/>
  <c r="Y97" i="3"/>
  <c r="Y105" i="3"/>
  <c r="Y113" i="3"/>
  <c r="Y121" i="3"/>
  <c r="Y129" i="3"/>
  <c r="Y137" i="3"/>
  <c r="Y145" i="3"/>
  <c r="Y153" i="3"/>
  <c r="Y161" i="3"/>
  <c r="Y169" i="3"/>
  <c r="Y177" i="3"/>
  <c r="Y185" i="3"/>
  <c r="Y193" i="3"/>
  <c r="Y201" i="3"/>
  <c r="Y209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29" i="3"/>
  <c r="Y18" i="3"/>
  <c r="Y26" i="3"/>
  <c r="Y34" i="3"/>
  <c r="Y42" i="3"/>
  <c r="Y50" i="3"/>
  <c r="Y58" i="3"/>
  <c r="Y66" i="3"/>
  <c r="Y74" i="3"/>
  <c r="Y82" i="3"/>
  <c r="Y90" i="3"/>
  <c r="Y98" i="3"/>
  <c r="Y106" i="3"/>
  <c r="Y114" i="3"/>
  <c r="Y122" i="3"/>
  <c r="Y130" i="3"/>
  <c r="Y138" i="3"/>
  <c r="Y146" i="3"/>
  <c r="Y154" i="3"/>
  <c r="Y162" i="3"/>
  <c r="Y170" i="3"/>
  <c r="Y178" i="3"/>
  <c r="Y186" i="3"/>
  <c r="Y194" i="3"/>
  <c r="Y202" i="3"/>
  <c r="Y210" i="3"/>
  <c r="Y218" i="3"/>
  <c r="Y226" i="3"/>
  <c r="Y234" i="3"/>
  <c r="Y242" i="3"/>
  <c r="Y250" i="3"/>
  <c r="Y258" i="3"/>
  <c r="Y266" i="3"/>
  <c r="Y274" i="3"/>
  <c r="Y282" i="3"/>
  <c r="Y290" i="3"/>
  <c r="Y298" i="3"/>
  <c r="Y306" i="3"/>
  <c r="Y314" i="3"/>
  <c r="Y322" i="3"/>
  <c r="Y330" i="3"/>
  <c r="Y19" i="3"/>
  <c r="Y27" i="3"/>
  <c r="Y35" i="3"/>
  <c r="Y43" i="3"/>
  <c r="Y51" i="3"/>
  <c r="Y59" i="3"/>
  <c r="Y67" i="3"/>
  <c r="Y75" i="3"/>
  <c r="Y83" i="3"/>
  <c r="Y91" i="3"/>
  <c r="Y99" i="3"/>
  <c r="Y107" i="3"/>
  <c r="Y115" i="3"/>
  <c r="Y123" i="3"/>
  <c r="Y131" i="3"/>
  <c r="Y139" i="3"/>
  <c r="Y147" i="3"/>
  <c r="Y155" i="3"/>
  <c r="Y163" i="3"/>
  <c r="Y171" i="3"/>
  <c r="Y179" i="3"/>
  <c r="Y187" i="3"/>
  <c r="Y195" i="3"/>
  <c r="Y203" i="3"/>
  <c r="Y211" i="3"/>
  <c r="Y219" i="3"/>
  <c r="Y227" i="3"/>
  <c r="Y235" i="3"/>
  <c r="Y243" i="3"/>
  <c r="Y251" i="3"/>
  <c r="Y259" i="3"/>
  <c r="Y267" i="3"/>
  <c r="Y275" i="3"/>
  <c r="Y283" i="3"/>
  <c r="Y291" i="3"/>
  <c r="Y299" i="3"/>
  <c r="Y307" i="3"/>
  <c r="Y315" i="3"/>
  <c r="Y323" i="3"/>
  <c r="Y331" i="3"/>
  <c r="Y20" i="3"/>
  <c r="Y28" i="3"/>
  <c r="Y36" i="3"/>
  <c r="Y44" i="3"/>
  <c r="Y52" i="3"/>
  <c r="Y60" i="3"/>
  <c r="Y68" i="3"/>
  <c r="Y76" i="3"/>
  <c r="Y84" i="3"/>
  <c r="Y92" i="3"/>
  <c r="Y100" i="3"/>
  <c r="Y108" i="3"/>
  <c r="Y116" i="3"/>
  <c r="Y124" i="3"/>
  <c r="Y132" i="3"/>
  <c r="Y140" i="3"/>
  <c r="Y148" i="3"/>
  <c r="Y156" i="3"/>
  <c r="Y164" i="3"/>
  <c r="Y172" i="3"/>
  <c r="Y180" i="3"/>
  <c r="Y188" i="3"/>
  <c r="Y196" i="3"/>
  <c r="Y204" i="3"/>
  <c r="Y212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16" i="3"/>
  <c r="Y324" i="3"/>
  <c r="Y332" i="3"/>
  <c r="Y21" i="3"/>
  <c r="Y29" i="3"/>
  <c r="Y37" i="3"/>
  <c r="Y45" i="3"/>
  <c r="Y53" i="3"/>
  <c r="Y61" i="3"/>
  <c r="Y69" i="3"/>
  <c r="Y77" i="3"/>
  <c r="Y85" i="3"/>
  <c r="Y93" i="3"/>
  <c r="Y101" i="3"/>
  <c r="Y109" i="3"/>
  <c r="Y117" i="3"/>
  <c r="Y125" i="3"/>
  <c r="Y133" i="3"/>
  <c r="Y141" i="3"/>
  <c r="Y149" i="3"/>
  <c r="Y157" i="3"/>
  <c r="Y165" i="3"/>
  <c r="Y173" i="3"/>
  <c r="Y181" i="3"/>
  <c r="Y189" i="3"/>
  <c r="Y197" i="3"/>
  <c r="Y205" i="3"/>
  <c r="Y213" i="3"/>
  <c r="Y221" i="3"/>
  <c r="Y229" i="3"/>
  <c r="Y237" i="3"/>
  <c r="Y245" i="3"/>
  <c r="Y253" i="3"/>
  <c r="Y261" i="3"/>
  <c r="Y269" i="3"/>
  <c r="Y277" i="3"/>
  <c r="Y285" i="3"/>
  <c r="Y293" i="3"/>
  <c r="Y301" i="3"/>
  <c r="Y309" i="3"/>
  <c r="Y317" i="3"/>
  <c r="Y325" i="3"/>
  <c r="Y333" i="3"/>
  <c r="Y22" i="3"/>
  <c r="Y30" i="3"/>
  <c r="Y38" i="3"/>
  <c r="Y46" i="3"/>
  <c r="Y54" i="3"/>
  <c r="Y62" i="3"/>
  <c r="Y70" i="3"/>
  <c r="Y78" i="3"/>
  <c r="Y86" i="3"/>
  <c r="Y94" i="3"/>
  <c r="Y102" i="3"/>
  <c r="Y110" i="3"/>
  <c r="Y118" i="3"/>
  <c r="Y126" i="3"/>
  <c r="Y134" i="3"/>
  <c r="Y142" i="3"/>
  <c r="Y150" i="3"/>
  <c r="Y158" i="3"/>
  <c r="Y166" i="3"/>
  <c r="Y174" i="3"/>
  <c r="Y182" i="3"/>
  <c r="Y190" i="3"/>
  <c r="Y198" i="3"/>
  <c r="Y206" i="3"/>
  <c r="Y214" i="3"/>
  <c r="Y222" i="3"/>
  <c r="Y230" i="3"/>
  <c r="Y238" i="3"/>
  <c r="Y246" i="3"/>
  <c r="Y254" i="3"/>
  <c r="Y262" i="3"/>
  <c r="Y270" i="3"/>
  <c r="Y278" i="3"/>
  <c r="Y286" i="3"/>
  <c r="Y294" i="3"/>
  <c r="Y302" i="3"/>
  <c r="Y310" i="3"/>
  <c r="Y318" i="3"/>
  <c r="Y326" i="3"/>
  <c r="Y23" i="3"/>
  <c r="Y31" i="3"/>
  <c r="Y39" i="3"/>
  <c r="Y47" i="3"/>
  <c r="Y55" i="3"/>
  <c r="Y63" i="3"/>
  <c r="Y71" i="3"/>
  <c r="Y79" i="3"/>
  <c r="Y87" i="3"/>
  <c r="Y95" i="3"/>
  <c r="Y103" i="3"/>
  <c r="Y111" i="3"/>
  <c r="Y119" i="3"/>
  <c r="Y127" i="3"/>
  <c r="Y135" i="3"/>
  <c r="Y143" i="3"/>
  <c r="Y151" i="3"/>
  <c r="Y159" i="3"/>
  <c r="Y167" i="3"/>
  <c r="Y175" i="3"/>
  <c r="Y183" i="3"/>
  <c r="Y191" i="3"/>
  <c r="Y199" i="3"/>
  <c r="Y207" i="3"/>
  <c r="Y215" i="3"/>
  <c r="Y223" i="3"/>
  <c r="Y231" i="3"/>
  <c r="Y239" i="3"/>
  <c r="Y247" i="3"/>
  <c r="Y255" i="3"/>
  <c r="Y263" i="3"/>
  <c r="Y271" i="3"/>
  <c r="Y279" i="3"/>
  <c r="Y287" i="3"/>
  <c r="Y295" i="3"/>
  <c r="Y303" i="3"/>
  <c r="Y311" i="3"/>
  <c r="Y319" i="3"/>
  <c r="Y327" i="3"/>
  <c r="Y15" i="3"/>
  <c r="Z18" i="3"/>
  <c r="Z26" i="3"/>
  <c r="Z34" i="3"/>
  <c r="Z42" i="3"/>
  <c r="Z50" i="3"/>
  <c r="Z58" i="3"/>
  <c r="Z66" i="3"/>
  <c r="Z74" i="3"/>
  <c r="Z82" i="3"/>
  <c r="Z90" i="3"/>
  <c r="Z98" i="3"/>
  <c r="Z106" i="3"/>
  <c r="Z114" i="3"/>
  <c r="Z122" i="3"/>
  <c r="Z130" i="3"/>
  <c r="Z138" i="3"/>
  <c r="Z146" i="3"/>
  <c r="Z154" i="3"/>
  <c r="Z162" i="3"/>
  <c r="Z170" i="3"/>
  <c r="Z178" i="3"/>
  <c r="Z186" i="3"/>
  <c r="Z194" i="3"/>
  <c r="Z202" i="3"/>
  <c r="Z210" i="3"/>
  <c r="Z218" i="3"/>
  <c r="Z226" i="3"/>
  <c r="Z234" i="3"/>
  <c r="Z242" i="3"/>
  <c r="Z250" i="3"/>
  <c r="Z258" i="3"/>
  <c r="Z266" i="3"/>
  <c r="Z274" i="3"/>
  <c r="Z282" i="3"/>
  <c r="Z290" i="3"/>
  <c r="Z298" i="3"/>
  <c r="Z306" i="3"/>
  <c r="Z314" i="3"/>
  <c r="Z322" i="3"/>
  <c r="Z330" i="3"/>
  <c r="Z19" i="3"/>
  <c r="Z27" i="3"/>
  <c r="Z35" i="3"/>
  <c r="Z43" i="3"/>
  <c r="Z51" i="3"/>
  <c r="Z59" i="3"/>
  <c r="Z67" i="3"/>
  <c r="Z75" i="3"/>
  <c r="Z83" i="3"/>
  <c r="Z91" i="3"/>
  <c r="Z99" i="3"/>
  <c r="Z107" i="3"/>
  <c r="Z115" i="3"/>
  <c r="Z123" i="3"/>
  <c r="Z131" i="3"/>
  <c r="Z139" i="3"/>
  <c r="Z147" i="3"/>
  <c r="Z155" i="3"/>
  <c r="Z163" i="3"/>
  <c r="Z171" i="3"/>
  <c r="Z179" i="3"/>
  <c r="Z187" i="3"/>
  <c r="Z195" i="3"/>
  <c r="Z203" i="3"/>
  <c r="Z211" i="3"/>
  <c r="Z219" i="3"/>
  <c r="Z227" i="3"/>
  <c r="Z235" i="3"/>
  <c r="Z243" i="3"/>
  <c r="Z251" i="3"/>
  <c r="Z259" i="3"/>
  <c r="Z267" i="3"/>
  <c r="Z275" i="3"/>
  <c r="Z283" i="3"/>
  <c r="Z291" i="3"/>
  <c r="Z299" i="3"/>
  <c r="Z307" i="3"/>
  <c r="Z315" i="3"/>
  <c r="Z323" i="3"/>
  <c r="Z331" i="3"/>
  <c r="Z20" i="3"/>
  <c r="Z28" i="3"/>
  <c r="Z36" i="3"/>
  <c r="Z44" i="3"/>
  <c r="Z52" i="3"/>
  <c r="Z60" i="3"/>
  <c r="Z68" i="3"/>
  <c r="Z76" i="3"/>
  <c r="Z84" i="3"/>
  <c r="Z92" i="3"/>
  <c r="Z100" i="3"/>
  <c r="Z108" i="3"/>
  <c r="Z116" i="3"/>
  <c r="Z124" i="3"/>
  <c r="Z132" i="3"/>
  <c r="Z140" i="3"/>
  <c r="Z148" i="3"/>
  <c r="Z156" i="3"/>
  <c r="Z164" i="3"/>
  <c r="Z172" i="3"/>
  <c r="Z180" i="3"/>
  <c r="Z188" i="3"/>
  <c r="Z196" i="3"/>
  <c r="Z204" i="3"/>
  <c r="Z212" i="3"/>
  <c r="Z220" i="3"/>
  <c r="Z228" i="3"/>
  <c r="Z236" i="3"/>
  <c r="Z244" i="3"/>
  <c r="Z252" i="3"/>
  <c r="Z260" i="3"/>
  <c r="Z268" i="3"/>
  <c r="Z276" i="3"/>
  <c r="Z284" i="3"/>
  <c r="Z292" i="3"/>
  <c r="Z300" i="3"/>
  <c r="Z308" i="3"/>
  <c r="Z316" i="3"/>
  <c r="Z324" i="3"/>
  <c r="Z332" i="3"/>
  <c r="Z21" i="3"/>
  <c r="Z29" i="3"/>
  <c r="Z37" i="3"/>
  <c r="Z45" i="3"/>
  <c r="Z53" i="3"/>
  <c r="Z61" i="3"/>
  <c r="Z69" i="3"/>
  <c r="Z77" i="3"/>
  <c r="Z85" i="3"/>
  <c r="Z93" i="3"/>
  <c r="Z101" i="3"/>
  <c r="Z109" i="3"/>
  <c r="Z117" i="3"/>
  <c r="Z125" i="3"/>
  <c r="Z133" i="3"/>
  <c r="Z141" i="3"/>
  <c r="Z149" i="3"/>
  <c r="Z157" i="3"/>
  <c r="Z165" i="3"/>
  <c r="Z173" i="3"/>
  <c r="Z181" i="3"/>
  <c r="Z189" i="3"/>
  <c r="Z197" i="3"/>
  <c r="Z205" i="3"/>
  <c r="Z213" i="3"/>
  <c r="Z221" i="3"/>
  <c r="Z229" i="3"/>
  <c r="Z237" i="3"/>
  <c r="Z245" i="3"/>
  <c r="Z253" i="3"/>
  <c r="Z261" i="3"/>
  <c r="Z269" i="3"/>
  <c r="Z277" i="3"/>
  <c r="Z285" i="3"/>
  <c r="Z293" i="3"/>
  <c r="Z301" i="3"/>
  <c r="Z309" i="3"/>
  <c r="Z317" i="3"/>
  <c r="Z325" i="3"/>
  <c r="Z333" i="3"/>
  <c r="Z22" i="3"/>
  <c r="Z30" i="3"/>
  <c r="Z38" i="3"/>
  <c r="Z46" i="3"/>
  <c r="Z54" i="3"/>
  <c r="Z62" i="3"/>
  <c r="Z70" i="3"/>
  <c r="Z78" i="3"/>
  <c r="Z86" i="3"/>
  <c r="Z94" i="3"/>
  <c r="Z102" i="3"/>
  <c r="Z110" i="3"/>
  <c r="Z118" i="3"/>
  <c r="Z126" i="3"/>
  <c r="Z134" i="3"/>
  <c r="Z142" i="3"/>
  <c r="Z150" i="3"/>
  <c r="Z158" i="3"/>
  <c r="Z166" i="3"/>
  <c r="Z174" i="3"/>
  <c r="Z182" i="3"/>
  <c r="Z190" i="3"/>
  <c r="Z198" i="3"/>
  <c r="Z206" i="3"/>
  <c r="Z214" i="3"/>
  <c r="Z222" i="3"/>
  <c r="Z230" i="3"/>
  <c r="Z238" i="3"/>
  <c r="Z246" i="3"/>
  <c r="Z254" i="3"/>
  <c r="Z262" i="3"/>
  <c r="Z270" i="3"/>
  <c r="Z278" i="3"/>
  <c r="Z286" i="3"/>
  <c r="Z294" i="3"/>
  <c r="Z302" i="3"/>
  <c r="Z310" i="3"/>
  <c r="Z318" i="3"/>
  <c r="Z326" i="3"/>
  <c r="Z23" i="3"/>
  <c r="Z31" i="3"/>
  <c r="Z39" i="3"/>
  <c r="Z47" i="3"/>
  <c r="Z55" i="3"/>
  <c r="Z63" i="3"/>
  <c r="Z71" i="3"/>
  <c r="Z79" i="3"/>
  <c r="Z87" i="3"/>
  <c r="Z95" i="3"/>
  <c r="Z103" i="3"/>
  <c r="Z111" i="3"/>
  <c r="Z119" i="3"/>
  <c r="Z127" i="3"/>
  <c r="Z135" i="3"/>
  <c r="Z143" i="3"/>
  <c r="Z151" i="3"/>
  <c r="Z159" i="3"/>
  <c r="Z167" i="3"/>
  <c r="Z175" i="3"/>
  <c r="Z183" i="3"/>
  <c r="Z191" i="3"/>
  <c r="Z199" i="3"/>
  <c r="Z207" i="3"/>
  <c r="Z215" i="3"/>
  <c r="Z223" i="3"/>
  <c r="Z231" i="3"/>
  <c r="Z239" i="3"/>
  <c r="Z247" i="3"/>
  <c r="Z16" i="3"/>
  <c r="Z24" i="3"/>
  <c r="Z32" i="3"/>
  <c r="Z40" i="3"/>
  <c r="Z48" i="3"/>
  <c r="Z56" i="3"/>
  <c r="Z64" i="3"/>
  <c r="Z72" i="3"/>
  <c r="Z80" i="3"/>
  <c r="Z88" i="3"/>
  <c r="Z96" i="3"/>
  <c r="Z104" i="3"/>
  <c r="Z112" i="3"/>
  <c r="Z120" i="3"/>
  <c r="Z128" i="3"/>
  <c r="Z136" i="3"/>
  <c r="Z144" i="3"/>
  <c r="Z152" i="3"/>
  <c r="Z160" i="3"/>
  <c r="Z168" i="3"/>
  <c r="Z176" i="3"/>
  <c r="Z184" i="3"/>
  <c r="Z192" i="3"/>
  <c r="Z200" i="3"/>
  <c r="Z208" i="3"/>
  <c r="Z216" i="3"/>
  <c r="Z224" i="3"/>
  <c r="Z232" i="3"/>
  <c r="Z240" i="3"/>
  <c r="Z248" i="3"/>
  <c r="Z256" i="3"/>
  <c r="Z264" i="3"/>
  <c r="Z272" i="3"/>
  <c r="Z280" i="3"/>
  <c r="Z288" i="3"/>
  <c r="Z296" i="3"/>
  <c r="Z304" i="3"/>
  <c r="Z312" i="3"/>
  <c r="Z320" i="3"/>
  <c r="Z328" i="3"/>
  <c r="Z17" i="3"/>
  <c r="Z25" i="3"/>
  <c r="Z33" i="3"/>
  <c r="Z41" i="3"/>
  <c r="Z49" i="3"/>
  <c r="Z57" i="3"/>
  <c r="Z65" i="3"/>
  <c r="Z73" i="3"/>
  <c r="Z81" i="3"/>
  <c r="Z89" i="3"/>
  <c r="Z97" i="3"/>
  <c r="Z105" i="3"/>
  <c r="Z113" i="3"/>
  <c r="Z121" i="3"/>
  <c r="Z129" i="3"/>
  <c r="Z137" i="3"/>
  <c r="Z145" i="3"/>
  <c r="Z153" i="3"/>
  <c r="Z161" i="3"/>
  <c r="Z169" i="3"/>
  <c r="Z177" i="3"/>
  <c r="Z185" i="3"/>
  <c r="Z193" i="3"/>
  <c r="Z201" i="3"/>
  <c r="Z209" i="3"/>
  <c r="Z217" i="3"/>
  <c r="Z225" i="3"/>
  <c r="Z233" i="3"/>
  <c r="Z241" i="3"/>
  <c r="Z279" i="3"/>
  <c r="Z311" i="3"/>
  <c r="Z249" i="3"/>
  <c r="Z281" i="3"/>
  <c r="Z313" i="3"/>
  <c r="Z255" i="3"/>
  <c r="Z287" i="3"/>
  <c r="Z319" i="3"/>
  <c r="Z257" i="3"/>
  <c r="Z289" i="3"/>
  <c r="Z321" i="3"/>
  <c r="Z263" i="3"/>
  <c r="Z295" i="3"/>
  <c r="Z327" i="3"/>
  <c r="Z265" i="3"/>
  <c r="Z297" i="3"/>
  <c r="Z329" i="3"/>
  <c r="Z305" i="3"/>
  <c r="Z271" i="3"/>
  <c r="Z303" i="3"/>
  <c r="Z273" i="3"/>
  <c r="Z15" i="3"/>
  <c r="Q4" i="2"/>
  <c r="W332" i="3"/>
  <c r="W268" i="3"/>
  <c r="W204" i="3"/>
  <c r="W140" i="3"/>
  <c r="W76" i="3"/>
  <c r="W331" i="3"/>
  <c r="W267" i="3"/>
  <c r="W203" i="3"/>
  <c r="W139" i="3"/>
  <c r="W75" i="3"/>
  <c r="W330" i="3"/>
  <c r="W266" i="3"/>
  <c r="W202" i="3"/>
  <c r="W138" i="3"/>
  <c r="W74" i="3"/>
  <c r="W329" i="3"/>
  <c r="W265" i="3"/>
  <c r="W201" i="3"/>
  <c r="W137" i="3"/>
  <c r="W73" i="3"/>
  <c r="W328" i="3"/>
  <c r="W264" i="3"/>
  <c r="W200" i="3"/>
  <c r="W136" i="3"/>
  <c r="W72" i="3"/>
  <c r="W327" i="3"/>
  <c r="W263" i="3"/>
  <c r="W199" i="3"/>
  <c r="W135" i="3"/>
  <c r="W71" i="3"/>
  <c r="W326" i="3"/>
  <c r="W262" i="3"/>
  <c r="W198" i="3"/>
  <c r="W134" i="3"/>
  <c r="W70" i="3"/>
  <c r="W325" i="3"/>
  <c r="W261" i="3"/>
  <c r="W197" i="3"/>
  <c r="W133" i="3"/>
  <c r="W69" i="3"/>
  <c r="W36" i="3"/>
  <c r="W226" i="3"/>
  <c r="W34" i="3"/>
  <c r="W33" i="3"/>
  <c r="W159" i="3"/>
  <c r="W158" i="3"/>
  <c r="W285" i="3"/>
  <c r="W93" i="3"/>
  <c r="W143" i="3"/>
  <c r="W324" i="3"/>
  <c r="W260" i="3"/>
  <c r="W196" i="3"/>
  <c r="W132" i="3"/>
  <c r="W68" i="3"/>
  <c r="W323" i="3"/>
  <c r="W259" i="3"/>
  <c r="W195" i="3"/>
  <c r="W131" i="3"/>
  <c r="W67" i="3"/>
  <c r="W322" i="3"/>
  <c r="W258" i="3"/>
  <c r="W194" i="3"/>
  <c r="W130" i="3"/>
  <c r="W66" i="3"/>
  <c r="W321" i="3"/>
  <c r="W257" i="3"/>
  <c r="W193" i="3"/>
  <c r="W129" i="3"/>
  <c r="W65" i="3"/>
  <c r="W320" i="3"/>
  <c r="W256" i="3"/>
  <c r="W192" i="3"/>
  <c r="W128" i="3"/>
  <c r="W64" i="3"/>
  <c r="W319" i="3"/>
  <c r="W255" i="3"/>
  <c r="W191" i="3"/>
  <c r="W127" i="3"/>
  <c r="W63" i="3"/>
  <c r="W318" i="3"/>
  <c r="W254" i="3"/>
  <c r="W190" i="3"/>
  <c r="W126" i="3"/>
  <c r="W62" i="3"/>
  <c r="W317" i="3"/>
  <c r="W253" i="3"/>
  <c r="W189" i="3"/>
  <c r="W125" i="3"/>
  <c r="W61" i="3"/>
  <c r="W164" i="3"/>
  <c r="W163" i="3"/>
  <c r="W162" i="3"/>
  <c r="W289" i="3"/>
  <c r="W97" i="3"/>
  <c r="W96" i="3"/>
  <c r="W286" i="3"/>
  <c r="W94" i="3"/>
  <c r="W142" i="3"/>
  <c r="W316" i="3"/>
  <c r="W252" i="3"/>
  <c r="W188" i="3"/>
  <c r="W124" i="3"/>
  <c r="W60" i="3"/>
  <c r="W315" i="3"/>
  <c r="W251" i="3"/>
  <c r="W187" i="3"/>
  <c r="W123" i="3"/>
  <c r="W59" i="3"/>
  <c r="W314" i="3"/>
  <c r="W250" i="3"/>
  <c r="W186" i="3"/>
  <c r="W122" i="3"/>
  <c r="W58" i="3"/>
  <c r="W313" i="3"/>
  <c r="W249" i="3"/>
  <c r="W185" i="3"/>
  <c r="W121" i="3"/>
  <c r="W57" i="3"/>
  <c r="W312" i="3"/>
  <c r="W248" i="3"/>
  <c r="W184" i="3"/>
  <c r="W120" i="3"/>
  <c r="W56" i="3"/>
  <c r="W311" i="3"/>
  <c r="W247" i="3"/>
  <c r="W183" i="3"/>
  <c r="W119" i="3"/>
  <c r="W55" i="3"/>
  <c r="W310" i="3"/>
  <c r="W246" i="3"/>
  <c r="W182" i="3"/>
  <c r="W118" i="3"/>
  <c r="W54" i="3"/>
  <c r="W309" i="3"/>
  <c r="W245" i="3"/>
  <c r="W181" i="3"/>
  <c r="W117" i="3"/>
  <c r="W53" i="3"/>
  <c r="W100" i="3"/>
  <c r="W290" i="3"/>
  <c r="W98" i="3"/>
  <c r="W288" i="3"/>
  <c r="W32" i="3"/>
  <c r="W222" i="3"/>
  <c r="W30" i="3"/>
  <c r="W29" i="3"/>
  <c r="W79" i="3"/>
  <c r="W308" i="3"/>
  <c r="W244" i="3"/>
  <c r="W180" i="3"/>
  <c r="W116" i="3"/>
  <c r="W52" i="3"/>
  <c r="W307" i="3"/>
  <c r="W243" i="3"/>
  <c r="W179" i="3"/>
  <c r="W115" i="3"/>
  <c r="W51" i="3"/>
  <c r="W306" i="3"/>
  <c r="W242" i="3"/>
  <c r="W178" i="3"/>
  <c r="W114" i="3"/>
  <c r="W50" i="3"/>
  <c r="W305" i="3"/>
  <c r="W241" i="3"/>
  <c r="W177" i="3"/>
  <c r="W113" i="3"/>
  <c r="W49" i="3"/>
  <c r="W304" i="3"/>
  <c r="W240" i="3"/>
  <c r="W176" i="3"/>
  <c r="W112" i="3"/>
  <c r="W48" i="3"/>
  <c r="W303" i="3"/>
  <c r="W239" i="3"/>
  <c r="W175" i="3"/>
  <c r="W111" i="3"/>
  <c r="W47" i="3"/>
  <c r="W302" i="3"/>
  <c r="W238" i="3"/>
  <c r="W174" i="3"/>
  <c r="W110" i="3"/>
  <c r="W46" i="3"/>
  <c r="W301" i="3"/>
  <c r="W237" i="3"/>
  <c r="W173" i="3"/>
  <c r="W109" i="3"/>
  <c r="W45" i="3"/>
  <c r="W228" i="3"/>
  <c r="W291" i="3"/>
  <c r="W99" i="3"/>
  <c r="W161" i="3"/>
  <c r="W160" i="3"/>
  <c r="W223" i="3"/>
  <c r="W95" i="3"/>
  <c r="W221" i="3"/>
  <c r="W270" i="3"/>
  <c r="W300" i="3"/>
  <c r="W236" i="3"/>
  <c r="W172" i="3"/>
  <c r="W108" i="3"/>
  <c r="W44" i="3"/>
  <c r="W299" i="3"/>
  <c r="W235" i="3"/>
  <c r="W171" i="3"/>
  <c r="W107" i="3"/>
  <c r="W43" i="3"/>
  <c r="W298" i="3"/>
  <c r="W234" i="3"/>
  <c r="W170" i="3"/>
  <c r="W106" i="3"/>
  <c r="W42" i="3"/>
  <c r="W297" i="3"/>
  <c r="W233" i="3"/>
  <c r="W169" i="3"/>
  <c r="W105" i="3"/>
  <c r="W41" i="3"/>
  <c r="W296" i="3"/>
  <c r="W232" i="3"/>
  <c r="W168" i="3"/>
  <c r="W104" i="3"/>
  <c r="W40" i="3"/>
  <c r="W295" i="3"/>
  <c r="W231" i="3"/>
  <c r="W167" i="3"/>
  <c r="W103" i="3"/>
  <c r="W39" i="3"/>
  <c r="W294" i="3"/>
  <c r="W230" i="3"/>
  <c r="W166" i="3"/>
  <c r="W102" i="3"/>
  <c r="W38" i="3"/>
  <c r="W293" i="3"/>
  <c r="W229" i="3"/>
  <c r="W165" i="3"/>
  <c r="W101" i="3"/>
  <c r="W37" i="3"/>
  <c r="W292" i="3"/>
  <c r="W227" i="3"/>
  <c r="W35" i="3"/>
  <c r="W225" i="3"/>
  <c r="W224" i="3"/>
  <c r="W287" i="3"/>
  <c r="W31" i="3"/>
  <c r="W157" i="3"/>
  <c r="W15" i="3"/>
  <c r="W284" i="3"/>
  <c r="W220" i="3"/>
  <c r="W156" i="3"/>
  <c r="W92" i="3"/>
  <c r="W28" i="3"/>
  <c r="W283" i="3"/>
  <c r="W219" i="3"/>
  <c r="W155" i="3"/>
  <c r="W91" i="3"/>
  <c r="W27" i="3"/>
  <c r="W282" i="3"/>
  <c r="W218" i="3"/>
  <c r="W154" i="3"/>
  <c r="W90" i="3"/>
  <c r="W26" i="3"/>
  <c r="W281" i="3"/>
  <c r="W217" i="3"/>
  <c r="W153" i="3"/>
  <c r="W89" i="3"/>
  <c r="W25" i="3"/>
  <c r="W280" i="3"/>
  <c r="W216" i="3"/>
  <c r="W152" i="3"/>
  <c r="W88" i="3"/>
  <c r="W24" i="3"/>
  <c r="W279" i="3"/>
  <c r="W215" i="3"/>
  <c r="W151" i="3"/>
  <c r="W87" i="3"/>
  <c r="W23" i="3"/>
  <c r="W278" i="3"/>
  <c r="W214" i="3"/>
  <c r="W150" i="3"/>
  <c r="W86" i="3"/>
  <c r="W22" i="3"/>
  <c r="W277" i="3"/>
  <c r="W213" i="3"/>
  <c r="W149" i="3"/>
  <c r="W85" i="3"/>
  <c r="W21" i="3"/>
  <c r="W276" i="3"/>
  <c r="W212" i="3"/>
  <c r="W148" i="3"/>
  <c r="W84" i="3"/>
  <c r="W20" i="3"/>
  <c r="W275" i="3"/>
  <c r="W211" i="3"/>
  <c r="W147" i="3"/>
  <c r="W83" i="3"/>
  <c r="W19" i="3"/>
  <c r="W274" i="3"/>
  <c r="W210" i="3"/>
  <c r="W146" i="3"/>
  <c r="W82" i="3"/>
  <c r="W18" i="3"/>
  <c r="W273" i="3"/>
  <c r="W209" i="3"/>
  <c r="W145" i="3"/>
  <c r="W81" i="3"/>
  <c r="W17" i="3"/>
  <c r="W272" i="3"/>
  <c r="W208" i="3"/>
  <c r="W144" i="3"/>
  <c r="W80" i="3"/>
  <c r="W16" i="3"/>
  <c r="W271" i="3"/>
  <c r="W207" i="3"/>
  <c r="W206" i="3"/>
  <c r="W78" i="3"/>
  <c r="W333" i="3"/>
  <c r="W269" i="3"/>
  <c r="W205" i="3"/>
  <c r="W141" i="3"/>
  <c r="W77" i="3"/>
  <c r="Q5" i="2"/>
  <c r="Q7" i="2" s="1"/>
  <c r="AE212" i="3" l="1"/>
  <c r="AF212" i="3" s="1"/>
  <c r="AE153" i="3"/>
  <c r="AE298" i="3"/>
  <c r="AF298" i="3" s="1"/>
  <c r="AE116" i="3"/>
  <c r="AF116" i="3" s="1"/>
  <c r="I118" i="2" s="1"/>
  <c r="AE186" i="3"/>
  <c r="AF186" i="3" s="1"/>
  <c r="AE189" i="3"/>
  <c r="AF189" i="3" s="1"/>
  <c r="AE256" i="3"/>
  <c r="AF256" i="3" s="1"/>
  <c r="AE130" i="3"/>
  <c r="AF130" i="3" s="1"/>
  <c r="I132" i="2" s="1"/>
  <c r="AE267" i="3"/>
  <c r="AF267" i="3" s="1"/>
  <c r="AE141" i="3"/>
  <c r="AE16" i="3"/>
  <c r="AF16" i="3" s="1"/>
  <c r="I18" i="2" s="1"/>
  <c r="AE209" i="3"/>
  <c r="AF209" i="3" s="1"/>
  <c r="AE83" i="3"/>
  <c r="AF83" i="3" s="1"/>
  <c r="I85" i="2" s="1"/>
  <c r="AE276" i="3"/>
  <c r="AF276" i="3" s="1"/>
  <c r="AE150" i="3"/>
  <c r="AE24" i="3"/>
  <c r="AE217" i="3"/>
  <c r="AF217" i="3" s="1"/>
  <c r="AE91" i="3"/>
  <c r="AF91" i="3" s="1"/>
  <c r="I93" i="2" s="1"/>
  <c r="AE284" i="3"/>
  <c r="AF284" i="3" s="1"/>
  <c r="AE227" i="3"/>
  <c r="AF227" i="3" s="1"/>
  <c r="AE102" i="3"/>
  <c r="AF102" i="3" s="1"/>
  <c r="I104" i="2" s="1"/>
  <c r="AE295" i="3"/>
  <c r="AF295" i="3" s="1"/>
  <c r="AE169" i="3"/>
  <c r="AF169" i="3" s="1"/>
  <c r="AE43" i="3"/>
  <c r="AE236" i="3"/>
  <c r="AF236" i="3" s="1"/>
  <c r="AE99" i="3"/>
  <c r="AE46" i="3"/>
  <c r="AF46" i="3" s="1"/>
  <c r="I48" i="2" s="1"/>
  <c r="AE239" i="3"/>
  <c r="AF239" i="3" s="1"/>
  <c r="AE113" i="3"/>
  <c r="AF113" i="3" s="1"/>
  <c r="I115" i="2" s="1"/>
  <c r="AE306" i="3"/>
  <c r="AF306" i="3" s="1"/>
  <c r="AE180" i="3"/>
  <c r="AF180" i="3" s="1"/>
  <c r="AE288" i="3"/>
  <c r="AF288" i="3" s="1"/>
  <c r="AE309" i="3"/>
  <c r="AF309" i="3" s="1"/>
  <c r="AE183" i="3"/>
  <c r="AF183" i="3" s="1"/>
  <c r="AE57" i="3"/>
  <c r="AF57" i="3" s="1"/>
  <c r="I59" i="2" s="1"/>
  <c r="AE250" i="3"/>
  <c r="AF250" i="3" s="1"/>
  <c r="AE124" i="3"/>
  <c r="AF124" i="3" s="1"/>
  <c r="I126" i="2" s="1"/>
  <c r="AE97" i="3"/>
  <c r="AE253" i="3"/>
  <c r="AF253" i="3" s="1"/>
  <c r="AE127" i="3"/>
  <c r="AE320" i="3"/>
  <c r="AF320" i="3" s="1"/>
  <c r="AE194" i="3"/>
  <c r="AF194" i="3" s="1"/>
  <c r="AE68" i="3"/>
  <c r="AF68" i="3" s="1"/>
  <c r="I70" i="2" s="1"/>
  <c r="AE158" i="3"/>
  <c r="AE197" i="3"/>
  <c r="AF197" i="3" s="1"/>
  <c r="AE71" i="3"/>
  <c r="AE264" i="3"/>
  <c r="AF264" i="3" s="1"/>
  <c r="AE138" i="3"/>
  <c r="AE331" i="3"/>
  <c r="AF331" i="3" s="1"/>
  <c r="AE77" i="3"/>
  <c r="AF77" i="3" s="1"/>
  <c r="I79" i="2" s="1"/>
  <c r="AE35" i="3"/>
  <c r="AE175" i="3"/>
  <c r="AF175" i="3" s="1"/>
  <c r="AE96" i="3"/>
  <c r="AE323" i="3"/>
  <c r="AF323" i="3" s="1"/>
  <c r="AE80" i="3"/>
  <c r="AF80" i="3" s="1"/>
  <c r="I82" i="2" s="1"/>
  <c r="AE273" i="3"/>
  <c r="AF273" i="3" s="1"/>
  <c r="AE147" i="3"/>
  <c r="AE21" i="3"/>
  <c r="AE214" i="3"/>
  <c r="AF214" i="3" s="1"/>
  <c r="AE88" i="3"/>
  <c r="AF88" i="3" s="1"/>
  <c r="I90" i="2" s="1"/>
  <c r="AE281" i="3"/>
  <c r="AF281" i="3" s="1"/>
  <c r="AE155" i="3"/>
  <c r="AE15" i="3"/>
  <c r="AF15" i="3" s="1"/>
  <c r="I17" i="2" s="1"/>
  <c r="AE292" i="3"/>
  <c r="AF292" i="3" s="1"/>
  <c r="AE166" i="3"/>
  <c r="AF166" i="3" s="1"/>
  <c r="AE40" i="3"/>
  <c r="AE233" i="3"/>
  <c r="AF233" i="3" s="1"/>
  <c r="AE107" i="3"/>
  <c r="AE300" i="3"/>
  <c r="AF300" i="3" s="1"/>
  <c r="AE291" i="3"/>
  <c r="AF291" i="3" s="1"/>
  <c r="AE110" i="3"/>
  <c r="AF110" i="3" s="1"/>
  <c r="I112" i="2" s="1"/>
  <c r="AE303" i="3"/>
  <c r="AF303" i="3" s="1"/>
  <c r="AE177" i="3"/>
  <c r="AF177" i="3" s="1"/>
  <c r="AE51" i="3"/>
  <c r="AE244" i="3"/>
  <c r="AF244" i="3" s="1"/>
  <c r="AE98" i="3"/>
  <c r="AF98" i="3" s="1"/>
  <c r="I100" i="2" s="1"/>
  <c r="AE54" i="3"/>
  <c r="AF54" i="3" s="1"/>
  <c r="I56" i="2" s="1"/>
  <c r="AE247" i="3"/>
  <c r="AF247" i="3" s="1"/>
  <c r="AE121" i="3"/>
  <c r="AE314" i="3"/>
  <c r="AF314" i="3" s="1"/>
  <c r="AE188" i="3"/>
  <c r="AF188" i="3" s="1"/>
  <c r="AE289" i="3"/>
  <c r="AF289" i="3" s="1"/>
  <c r="AE317" i="3"/>
  <c r="AF317" i="3" s="1"/>
  <c r="AE191" i="3"/>
  <c r="AF191" i="3" s="1"/>
  <c r="AE65" i="3"/>
  <c r="AE258" i="3"/>
  <c r="AF258" i="3" s="1"/>
  <c r="AE132" i="3"/>
  <c r="AF132" i="3" s="1"/>
  <c r="I134" i="2" s="1"/>
  <c r="AE159" i="3"/>
  <c r="AE261" i="3"/>
  <c r="AF261" i="3" s="1"/>
  <c r="AE135" i="3"/>
  <c r="AE328" i="3"/>
  <c r="AF328" i="3" s="1"/>
  <c r="AE202" i="3"/>
  <c r="AF202" i="3" s="1"/>
  <c r="AE76" i="3"/>
  <c r="AF76" i="3" s="1"/>
  <c r="I78" i="2" s="1"/>
  <c r="AE19" i="3"/>
  <c r="AF19" i="3" s="1"/>
  <c r="I21" i="2" s="1"/>
  <c r="AE105" i="3"/>
  <c r="AF105" i="3" s="1"/>
  <c r="I107" i="2" s="1"/>
  <c r="AE32" i="3"/>
  <c r="AE74" i="3"/>
  <c r="AF74" i="3" s="1"/>
  <c r="I76" i="2" s="1"/>
  <c r="AE269" i="3"/>
  <c r="AF269" i="3" s="1"/>
  <c r="AE144" i="3"/>
  <c r="AE18" i="3"/>
  <c r="AE211" i="3"/>
  <c r="AF211" i="3" s="1"/>
  <c r="AE85" i="3"/>
  <c r="AE278" i="3"/>
  <c r="AF278" i="3" s="1"/>
  <c r="AE152" i="3"/>
  <c r="AE26" i="3"/>
  <c r="AF26" i="3" s="1"/>
  <c r="I28" i="2" s="1"/>
  <c r="AE219" i="3"/>
  <c r="AF219" i="3" s="1"/>
  <c r="AE157" i="3"/>
  <c r="AE37" i="3"/>
  <c r="AE230" i="3"/>
  <c r="AF230" i="3" s="1"/>
  <c r="AE104" i="3"/>
  <c r="AF104" i="3" s="1"/>
  <c r="I106" i="2" s="1"/>
  <c r="AE297" i="3"/>
  <c r="AF297" i="3" s="1"/>
  <c r="AE171" i="3"/>
  <c r="AF171" i="3" s="1"/>
  <c r="AE270" i="3"/>
  <c r="AF270" i="3" s="1"/>
  <c r="AE228" i="3"/>
  <c r="AF228" i="3" s="1"/>
  <c r="AE174" i="3"/>
  <c r="AF174" i="3" s="1"/>
  <c r="AE48" i="3"/>
  <c r="AE241" i="3"/>
  <c r="AF241" i="3" s="1"/>
  <c r="AE115" i="3"/>
  <c r="AF115" i="3" s="1"/>
  <c r="I117" i="2" s="1"/>
  <c r="AE308" i="3"/>
  <c r="AF308" i="3" s="1"/>
  <c r="AE290" i="3"/>
  <c r="AF290" i="3" s="1"/>
  <c r="AE118" i="3"/>
  <c r="AF118" i="3" s="1"/>
  <c r="I120" i="2" s="1"/>
  <c r="AE311" i="3"/>
  <c r="AF311" i="3" s="1"/>
  <c r="AE185" i="3"/>
  <c r="AF185" i="3" s="1"/>
  <c r="AE59" i="3"/>
  <c r="AF59" i="3" s="1"/>
  <c r="I61" i="2" s="1"/>
  <c r="AE252" i="3"/>
  <c r="AF252" i="3" s="1"/>
  <c r="AE162" i="3"/>
  <c r="AE62" i="3"/>
  <c r="AF62" i="3" s="1"/>
  <c r="I64" i="2" s="1"/>
  <c r="AE255" i="3"/>
  <c r="AF255" i="3" s="1"/>
  <c r="AE129" i="3"/>
  <c r="AF129" i="3" s="1"/>
  <c r="I131" i="2" s="1"/>
  <c r="AE322" i="3"/>
  <c r="AF322" i="3" s="1"/>
  <c r="AE196" i="3"/>
  <c r="AF196" i="3" s="1"/>
  <c r="AE33" i="3"/>
  <c r="AF33" i="3" s="1"/>
  <c r="I35" i="2" s="1"/>
  <c r="AE325" i="3"/>
  <c r="AF325" i="3" s="1"/>
  <c r="AE199" i="3"/>
  <c r="AF199" i="3" s="1"/>
  <c r="AE73" i="3"/>
  <c r="AE266" i="3"/>
  <c r="AF266" i="3" s="1"/>
  <c r="AE140" i="3"/>
  <c r="AE86" i="3"/>
  <c r="AF86" i="3" s="1"/>
  <c r="I88" i="2" s="1"/>
  <c r="AE220" i="3"/>
  <c r="AF220" i="3" s="1"/>
  <c r="AE172" i="3"/>
  <c r="AF172" i="3" s="1"/>
  <c r="AE242" i="3"/>
  <c r="AF242" i="3" s="1"/>
  <c r="AE312" i="3"/>
  <c r="AF312" i="3" s="1"/>
  <c r="AE285" i="3"/>
  <c r="AF285" i="3" s="1"/>
  <c r="AE205" i="3"/>
  <c r="AF205" i="3" s="1"/>
  <c r="AE333" i="3"/>
  <c r="AF333" i="3" s="1"/>
  <c r="AE208" i="3"/>
  <c r="AF208" i="3" s="1"/>
  <c r="AE82" i="3"/>
  <c r="AF82" i="3" s="1"/>
  <c r="I84" i="2" s="1"/>
  <c r="AE275" i="3"/>
  <c r="AF275" i="3" s="1"/>
  <c r="AE149" i="3"/>
  <c r="AE23" i="3"/>
  <c r="H25" i="2" s="1"/>
  <c r="AE216" i="3"/>
  <c r="AF216" i="3" s="1"/>
  <c r="AE90" i="3"/>
  <c r="AF90" i="3" s="1"/>
  <c r="I92" i="2" s="1"/>
  <c r="AE283" i="3"/>
  <c r="AF283" i="3" s="1"/>
  <c r="AE31" i="3"/>
  <c r="AE101" i="3"/>
  <c r="AE294" i="3"/>
  <c r="AF294" i="3" s="1"/>
  <c r="AE168" i="3"/>
  <c r="AF168" i="3" s="1"/>
  <c r="AE42" i="3"/>
  <c r="AF42" i="3" s="1"/>
  <c r="I44" i="2" s="1"/>
  <c r="AE235" i="3"/>
  <c r="AF235" i="3" s="1"/>
  <c r="AE221" i="3"/>
  <c r="AF221" i="3" s="1"/>
  <c r="AE45" i="3"/>
  <c r="AF45" i="3" s="1"/>
  <c r="I47" i="2" s="1"/>
  <c r="AE238" i="3"/>
  <c r="AF238" i="3" s="1"/>
  <c r="AE112" i="3"/>
  <c r="AE305" i="3"/>
  <c r="AF305" i="3" s="1"/>
  <c r="AE179" i="3"/>
  <c r="AF179" i="3" s="1"/>
  <c r="AE79" i="3"/>
  <c r="AE100" i="3"/>
  <c r="AE182" i="3"/>
  <c r="AF182" i="3" s="1"/>
  <c r="AE56" i="3"/>
  <c r="AE249" i="3"/>
  <c r="AF249" i="3" s="1"/>
  <c r="AE123" i="3"/>
  <c r="AE316" i="3"/>
  <c r="AF316" i="3" s="1"/>
  <c r="AE163" i="3"/>
  <c r="AE126" i="3"/>
  <c r="AE319" i="3"/>
  <c r="AF319" i="3" s="1"/>
  <c r="AE193" i="3"/>
  <c r="AF193" i="3" s="1"/>
  <c r="AE67" i="3"/>
  <c r="AE260" i="3"/>
  <c r="AF260" i="3" s="1"/>
  <c r="AE34" i="3"/>
  <c r="AF34" i="3" s="1"/>
  <c r="I36" i="2" s="1"/>
  <c r="AE70" i="3"/>
  <c r="AF70" i="3" s="1"/>
  <c r="I72" i="2" s="1"/>
  <c r="AE263" i="3"/>
  <c r="AF263" i="3" s="1"/>
  <c r="AE137" i="3"/>
  <c r="AE330" i="3"/>
  <c r="AF330" i="3" s="1"/>
  <c r="AE204" i="3"/>
  <c r="AF204" i="3" s="1"/>
  <c r="AE271" i="3"/>
  <c r="AF271" i="3" s="1"/>
  <c r="AE279" i="3"/>
  <c r="AF279" i="3" s="1"/>
  <c r="AE231" i="3"/>
  <c r="AF231" i="3" s="1"/>
  <c r="AE49" i="3"/>
  <c r="AF49" i="3" s="1"/>
  <c r="I51" i="2" s="1"/>
  <c r="AE245" i="3"/>
  <c r="AF245" i="3" s="1"/>
  <c r="AE63" i="3"/>
  <c r="AF63" i="3" s="1"/>
  <c r="I65" i="2" s="1"/>
  <c r="AE133" i="3"/>
  <c r="AE78" i="3"/>
  <c r="AF78" i="3" s="1"/>
  <c r="I80" i="2" s="1"/>
  <c r="AE272" i="3"/>
  <c r="AF272" i="3" s="1"/>
  <c r="AE146" i="3"/>
  <c r="AE20" i="3"/>
  <c r="AF20" i="3" s="1"/>
  <c r="I22" i="2" s="1"/>
  <c r="AE213" i="3"/>
  <c r="AF213" i="3" s="1"/>
  <c r="AE87" i="3"/>
  <c r="AF87" i="3" s="1"/>
  <c r="I89" i="2" s="1"/>
  <c r="AE280" i="3"/>
  <c r="AF280" i="3" s="1"/>
  <c r="AE154" i="3"/>
  <c r="AE28" i="3"/>
  <c r="AF28" i="3" s="1"/>
  <c r="I30" i="2" s="1"/>
  <c r="AE287" i="3"/>
  <c r="AF287" i="3" s="1"/>
  <c r="AE165" i="3"/>
  <c r="AE39" i="3"/>
  <c r="AE232" i="3"/>
  <c r="AF232" i="3" s="1"/>
  <c r="AE106" i="3"/>
  <c r="AF106" i="3" s="1"/>
  <c r="I108" i="2" s="1"/>
  <c r="AE299" i="3"/>
  <c r="AF299" i="3" s="1"/>
  <c r="AE95" i="3"/>
  <c r="AE109" i="3"/>
  <c r="AF109" i="3" s="1"/>
  <c r="I111" i="2" s="1"/>
  <c r="AE302" i="3"/>
  <c r="AF302" i="3" s="1"/>
  <c r="AE176" i="3"/>
  <c r="AF176" i="3" s="1"/>
  <c r="AE50" i="3"/>
  <c r="AE243" i="3"/>
  <c r="AF243" i="3" s="1"/>
  <c r="AE29" i="3"/>
  <c r="AF29" i="3" s="1"/>
  <c r="I31" i="2" s="1"/>
  <c r="AE53" i="3"/>
  <c r="AE246" i="3"/>
  <c r="AF246" i="3" s="1"/>
  <c r="AE120" i="3"/>
  <c r="AF120" i="3" s="1"/>
  <c r="I122" i="2" s="1"/>
  <c r="AE313" i="3"/>
  <c r="AF313" i="3" s="1"/>
  <c r="AE187" i="3"/>
  <c r="AF187" i="3" s="1"/>
  <c r="AE142" i="3"/>
  <c r="AE164" i="3"/>
  <c r="AE190" i="3"/>
  <c r="AF190" i="3" s="1"/>
  <c r="AE64" i="3"/>
  <c r="AF64" i="3" s="1"/>
  <c r="I66" i="2" s="1"/>
  <c r="AE257" i="3"/>
  <c r="AF257" i="3" s="1"/>
  <c r="AE131" i="3"/>
  <c r="AF131" i="3" s="1"/>
  <c r="I133" i="2" s="1"/>
  <c r="AE324" i="3"/>
  <c r="AF324" i="3" s="1"/>
  <c r="AE226" i="3"/>
  <c r="AF226" i="3" s="1"/>
  <c r="AE134" i="3"/>
  <c r="AF134" i="3" s="1"/>
  <c r="I136" i="2" s="1"/>
  <c r="AE327" i="3"/>
  <c r="AF327" i="3" s="1"/>
  <c r="AE201" i="3"/>
  <c r="AF201" i="3" s="1"/>
  <c r="AE75" i="3"/>
  <c r="AF75" i="3" s="1"/>
  <c r="I77" i="2" s="1"/>
  <c r="AE268" i="3"/>
  <c r="AF268" i="3" s="1"/>
  <c r="AE27" i="3"/>
  <c r="AF27" i="3" s="1"/>
  <c r="I29" i="2" s="1"/>
  <c r="AE161" i="3"/>
  <c r="AE119" i="3"/>
  <c r="AF119" i="3" s="1"/>
  <c r="I121" i="2" s="1"/>
  <c r="AE200" i="3"/>
  <c r="AF200" i="3" s="1"/>
  <c r="AE206" i="3"/>
  <c r="AF206" i="3" s="1"/>
  <c r="AE17" i="3"/>
  <c r="AF17" i="3" s="1"/>
  <c r="I19" i="2" s="1"/>
  <c r="AE210" i="3"/>
  <c r="AF210" i="3" s="1"/>
  <c r="AE84" i="3"/>
  <c r="AF84" i="3" s="1"/>
  <c r="I86" i="2" s="1"/>
  <c r="AE277" i="3"/>
  <c r="AF277" i="3" s="1"/>
  <c r="AE151" i="3"/>
  <c r="AE25" i="3"/>
  <c r="AE218" i="3"/>
  <c r="AF218" i="3" s="1"/>
  <c r="AE92" i="3"/>
  <c r="AE224" i="3"/>
  <c r="AF224" i="3" s="1"/>
  <c r="AE229" i="3"/>
  <c r="AF229" i="3" s="1"/>
  <c r="AE103" i="3"/>
  <c r="AF103" i="3" s="1"/>
  <c r="I105" i="2" s="1"/>
  <c r="AE296" i="3"/>
  <c r="AF296" i="3" s="1"/>
  <c r="AE170" i="3"/>
  <c r="AF170" i="3" s="1"/>
  <c r="AE44" i="3"/>
  <c r="AF44" i="3" s="1"/>
  <c r="I46" i="2" s="1"/>
  <c r="AE223" i="3"/>
  <c r="AF223" i="3" s="1"/>
  <c r="AE173" i="3"/>
  <c r="AF173" i="3" s="1"/>
  <c r="AE47" i="3"/>
  <c r="AF47" i="3" s="1"/>
  <c r="I49" i="2" s="1"/>
  <c r="AE240" i="3"/>
  <c r="AF240" i="3" s="1"/>
  <c r="AE114" i="3"/>
  <c r="AF114" i="3" s="1"/>
  <c r="I116" i="2" s="1"/>
  <c r="AE307" i="3"/>
  <c r="AF307" i="3" s="1"/>
  <c r="AE30" i="3"/>
  <c r="AF30" i="3" s="1"/>
  <c r="I32" i="2" s="1"/>
  <c r="AE117" i="3"/>
  <c r="AF117" i="3" s="1"/>
  <c r="I119" i="2" s="1"/>
  <c r="AE310" i="3"/>
  <c r="AF310" i="3" s="1"/>
  <c r="AE184" i="3"/>
  <c r="AF184" i="3" s="1"/>
  <c r="AE58" i="3"/>
  <c r="AF58" i="3" s="1"/>
  <c r="I60" i="2" s="1"/>
  <c r="AE251" i="3"/>
  <c r="AF251" i="3" s="1"/>
  <c r="AE94" i="3"/>
  <c r="AE61" i="3"/>
  <c r="AE254" i="3"/>
  <c r="AF254" i="3" s="1"/>
  <c r="AE128" i="3"/>
  <c r="AE321" i="3"/>
  <c r="AF321" i="3" s="1"/>
  <c r="AE195" i="3"/>
  <c r="AF195" i="3" s="1"/>
  <c r="AE143" i="3"/>
  <c r="AE36" i="3"/>
  <c r="AF36" i="3" s="1"/>
  <c r="I38" i="2" s="1"/>
  <c r="AE198" i="3"/>
  <c r="AF198" i="3" s="1"/>
  <c r="AE72" i="3"/>
  <c r="AF72" i="3" s="1"/>
  <c r="I74" i="2" s="1"/>
  <c r="AE265" i="3"/>
  <c r="AF265" i="3" s="1"/>
  <c r="AE139" i="3"/>
  <c r="AE332" i="3"/>
  <c r="AF332" i="3" s="1"/>
  <c r="AE145" i="3"/>
  <c r="AE38" i="3"/>
  <c r="AE301" i="3"/>
  <c r="AF301" i="3" s="1"/>
  <c r="AE60" i="3"/>
  <c r="AE326" i="3"/>
  <c r="AF326" i="3" s="1"/>
  <c r="AE207" i="3"/>
  <c r="AF207" i="3" s="1"/>
  <c r="AE81" i="3"/>
  <c r="AF81" i="3" s="1"/>
  <c r="I83" i="2" s="1"/>
  <c r="AE274" i="3"/>
  <c r="AF274" i="3" s="1"/>
  <c r="AE148" i="3"/>
  <c r="AE22" i="3"/>
  <c r="H24" i="2" s="1"/>
  <c r="AE215" i="3"/>
  <c r="AF215" i="3" s="1"/>
  <c r="AE89" i="3"/>
  <c r="AE282" i="3"/>
  <c r="AF282" i="3" s="1"/>
  <c r="AE156" i="3"/>
  <c r="AE225" i="3"/>
  <c r="AF225" i="3" s="1"/>
  <c r="AE293" i="3"/>
  <c r="AF293" i="3" s="1"/>
  <c r="AE167" i="3"/>
  <c r="AF167" i="3" s="1"/>
  <c r="AE41" i="3"/>
  <c r="AF41" i="3" s="1"/>
  <c r="I43" i="2" s="1"/>
  <c r="AE234" i="3"/>
  <c r="AF234" i="3" s="1"/>
  <c r="AE108" i="3"/>
  <c r="AE160" i="3"/>
  <c r="AE237" i="3"/>
  <c r="AF237" i="3" s="1"/>
  <c r="AE111" i="3"/>
  <c r="AE304" i="3"/>
  <c r="AF304" i="3" s="1"/>
  <c r="AE178" i="3"/>
  <c r="AF178" i="3" s="1"/>
  <c r="AE52" i="3"/>
  <c r="H54" i="2" s="1"/>
  <c r="AE222" i="3"/>
  <c r="AF222" i="3" s="1"/>
  <c r="AE181" i="3"/>
  <c r="AF181" i="3" s="1"/>
  <c r="AE55" i="3"/>
  <c r="AF55" i="3" s="1"/>
  <c r="I57" i="2" s="1"/>
  <c r="AE248" i="3"/>
  <c r="AF248" i="3" s="1"/>
  <c r="AE122" i="3"/>
  <c r="AE315" i="3"/>
  <c r="AF315" i="3" s="1"/>
  <c r="AE286" i="3"/>
  <c r="AF286" i="3" s="1"/>
  <c r="AE125" i="3"/>
  <c r="H127" i="2" s="1"/>
  <c r="AE318" i="3"/>
  <c r="AF318" i="3" s="1"/>
  <c r="AE192" i="3"/>
  <c r="AF192" i="3" s="1"/>
  <c r="AE66" i="3"/>
  <c r="AE259" i="3"/>
  <c r="AF259" i="3" s="1"/>
  <c r="AE93" i="3"/>
  <c r="AE69" i="3"/>
  <c r="H71" i="2" s="1"/>
  <c r="AE262" i="3"/>
  <c r="AF262" i="3" s="1"/>
  <c r="AE136" i="3"/>
  <c r="AE329" i="3"/>
  <c r="AF329" i="3" s="1"/>
  <c r="AE203" i="3"/>
  <c r="AF203" i="3" s="1"/>
  <c r="H107" i="2" l="1"/>
  <c r="AF138" i="3"/>
  <c r="I140" i="2" s="1"/>
  <c r="H140" i="2"/>
  <c r="AF154" i="3"/>
  <c r="I156" i="2" s="1"/>
  <c r="H156" i="2"/>
  <c r="AF150" i="3"/>
  <c r="I152" i="2" s="1"/>
  <c r="H152" i="2"/>
  <c r="AF136" i="3"/>
  <c r="I138" i="2" s="1"/>
  <c r="H138" i="2"/>
  <c r="AF143" i="3"/>
  <c r="I145" i="2" s="1"/>
  <c r="H145" i="2"/>
  <c r="AF163" i="3"/>
  <c r="I165" i="2" s="1"/>
  <c r="H165" i="2"/>
  <c r="AF149" i="3"/>
  <c r="I151" i="2" s="1"/>
  <c r="H151" i="2"/>
  <c r="AF152" i="3"/>
  <c r="I154" i="2" s="1"/>
  <c r="H154" i="2"/>
  <c r="AF155" i="3"/>
  <c r="I157" i="2" s="1"/>
  <c r="H157" i="2"/>
  <c r="AF148" i="3"/>
  <c r="I150" i="2" s="1"/>
  <c r="H150" i="2"/>
  <c r="AF145" i="3"/>
  <c r="I147" i="2" s="1"/>
  <c r="H147" i="2"/>
  <c r="AF164" i="3"/>
  <c r="I166" i="2" s="1"/>
  <c r="H166" i="2"/>
  <c r="AF158" i="3"/>
  <c r="I160" i="2" s="1"/>
  <c r="H160" i="2"/>
  <c r="AF137" i="3"/>
  <c r="I139" i="2" s="1"/>
  <c r="H139" i="2"/>
  <c r="AF142" i="3"/>
  <c r="I144" i="2" s="1"/>
  <c r="H144" i="2"/>
  <c r="AF157" i="3"/>
  <c r="I159" i="2" s="1"/>
  <c r="H159" i="2"/>
  <c r="AF144" i="3"/>
  <c r="I146" i="2" s="1"/>
  <c r="H146" i="2"/>
  <c r="AF159" i="3"/>
  <c r="I161" i="2" s="1"/>
  <c r="H161" i="2"/>
  <c r="AF162" i="3"/>
  <c r="I164" i="2" s="1"/>
  <c r="H164" i="2"/>
  <c r="AF139" i="3"/>
  <c r="I141" i="2" s="1"/>
  <c r="H141" i="2"/>
  <c r="AF165" i="3"/>
  <c r="I167" i="2" s="1"/>
  <c r="H167" i="2"/>
  <c r="AF146" i="3"/>
  <c r="I148" i="2" s="1"/>
  <c r="H148" i="2"/>
  <c r="AF135" i="3"/>
  <c r="I137" i="2" s="1"/>
  <c r="H137" i="2"/>
  <c r="AF141" i="3"/>
  <c r="I143" i="2" s="1"/>
  <c r="H143" i="2"/>
  <c r="AF153" i="3"/>
  <c r="I155" i="2" s="1"/>
  <c r="H155" i="2"/>
  <c r="AF160" i="3"/>
  <c r="I162" i="2" s="1"/>
  <c r="H162" i="2"/>
  <c r="AF156" i="3"/>
  <c r="I158" i="2" s="1"/>
  <c r="H158" i="2"/>
  <c r="AF151" i="3"/>
  <c r="I153" i="2" s="1"/>
  <c r="H153" i="2"/>
  <c r="AF161" i="3"/>
  <c r="I163" i="2" s="1"/>
  <c r="H163" i="2"/>
  <c r="AF140" i="3"/>
  <c r="I142" i="2" s="1"/>
  <c r="H142" i="2"/>
  <c r="AF147" i="3"/>
  <c r="I149" i="2" s="1"/>
  <c r="H149" i="2"/>
  <c r="H134" i="2"/>
  <c r="H118" i="2"/>
  <c r="H17" i="2"/>
  <c r="H89" i="2"/>
  <c r="H56" i="2"/>
  <c r="AF89" i="3"/>
  <c r="I91" i="2" s="1"/>
  <c r="H91" i="2"/>
  <c r="H131" i="2"/>
  <c r="H133" i="2"/>
  <c r="H122" i="2"/>
  <c r="H18" i="2"/>
  <c r="H79" i="2"/>
  <c r="H77" i="2"/>
  <c r="H66" i="2"/>
  <c r="H86" i="2"/>
  <c r="AF22" i="3"/>
  <c r="I24" i="2" s="1"/>
  <c r="H65" i="2"/>
  <c r="H116" i="2"/>
  <c r="H59" i="2"/>
  <c r="H88" i="2"/>
  <c r="H85" i="2"/>
  <c r="H104" i="2"/>
  <c r="H46" i="2"/>
  <c r="AF56" i="3"/>
  <c r="I58" i="2" s="1"/>
  <c r="H58" i="2"/>
  <c r="AF65" i="3"/>
  <c r="I67" i="2" s="1"/>
  <c r="H67" i="2"/>
  <c r="H61" i="2"/>
  <c r="H72" i="2"/>
  <c r="H84" i="2"/>
  <c r="H117" i="2"/>
  <c r="H92" i="2"/>
  <c r="H112" i="2"/>
  <c r="H106" i="2"/>
  <c r="H78" i="2"/>
  <c r="H21" i="2"/>
  <c r="H105" i="2"/>
  <c r="AF25" i="3"/>
  <c r="I27" i="2" s="1"/>
  <c r="H27" i="2"/>
  <c r="AF51" i="3"/>
  <c r="I53" i="2" s="1"/>
  <c r="H53" i="2"/>
  <c r="AF21" i="3"/>
  <c r="I23" i="2" s="1"/>
  <c r="H23" i="2"/>
  <c r="AF50" i="3"/>
  <c r="I52" i="2" s="1"/>
  <c r="H52" i="2"/>
  <c r="AF99" i="3"/>
  <c r="I101" i="2" s="1"/>
  <c r="H101" i="2"/>
  <c r="AF85" i="3"/>
  <c r="I87" i="2" s="1"/>
  <c r="H87" i="2"/>
  <c r="AF127" i="3"/>
  <c r="I129" i="2" s="1"/>
  <c r="H129" i="2"/>
  <c r="AF128" i="3"/>
  <c r="I130" i="2" s="1"/>
  <c r="H130" i="2"/>
  <c r="AF121" i="3"/>
  <c r="I123" i="2" s="1"/>
  <c r="H123" i="2"/>
  <c r="AF18" i="3"/>
  <c r="I20" i="2" s="1"/>
  <c r="H20" i="2"/>
  <c r="AF71" i="3"/>
  <c r="I73" i="2" s="1"/>
  <c r="H73" i="2"/>
  <c r="AF96" i="3"/>
  <c r="I98" i="2" s="1"/>
  <c r="H98" i="2"/>
  <c r="AF112" i="3"/>
  <c r="I114" i="2" s="1"/>
  <c r="H114" i="2"/>
  <c r="AF35" i="3"/>
  <c r="I37" i="2" s="1"/>
  <c r="H37" i="2"/>
  <c r="H43" i="2"/>
  <c r="AF108" i="3"/>
  <c r="I110" i="2" s="1"/>
  <c r="H110" i="2"/>
  <c r="AF38" i="3"/>
  <c r="I40" i="2" s="1"/>
  <c r="H40" i="2"/>
  <c r="AF95" i="3"/>
  <c r="I97" i="2" s="1"/>
  <c r="H97" i="2"/>
  <c r="AF43" i="3"/>
  <c r="I45" i="2" s="1"/>
  <c r="H45" i="2"/>
  <c r="AF126" i="3"/>
  <c r="I128" i="2" s="1"/>
  <c r="H128" i="2"/>
  <c r="AF73" i="3"/>
  <c r="I75" i="2" s="1"/>
  <c r="H75" i="2"/>
  <c r="H99" i="2"/>
  <c r="AF97" i="3"/>
  <c r="I99" i="2" s="1"/>
  <c r="AF133" i="3"/>
  <c r="I135" i="2" s="1"/>
  <c r="H135" i="2"/>
  <c r="H33" i="2"/>
  <c r="AF31" i="3"/>
  <c r="I33" i="2" s="1"/>
  <c r="AF24" i="3"/>
  <c r="I26" i="2" s="1"/>
  <c r="H26" i="2"/>
  <c r="AF61" i="3"/>
  <c r="I63" i="2" s="1"/>
  <c r="H63" i="2"/>
  <c r="AF100" i="3"/>
  <c r="I102" i="2" s="1"/>
  <c r="H102" i="2"/>
  <c r="AF32" i="3"/>
  <c r="I34" i="2" s="1"/>
  <c r="H34" i="2"/>
  <c r="AF111" i="3"/>
  <c r="I113" i="2" s="1"/>
  <c r="H113" i="2"/>
  <c r="AF92" i="3"/>
  <c r="I94" i="2" s="1"/>
  <c r="H94" i="2"/>
  <c r="AF39" i="3"/>
  <c r="I41" i="2" s="1"/>
  <c r="H41" i="2"/>
  <c r="AF79" i="3"/>
  <c r="I81" i="2" s="1"/>
  <c r="H81" i="2"/>
  <c r="AF66" i="3"/>
  <c r="I68" i="2" s="1"/>
  <c r="H68" i="2"/>
  <c r="AF123" i="3"/>
  <c r="I125" i="2" s="1"/>
  <c r="H125" i="2"/>
  <c r="H42" i="2"/>
  <c r="AF40" i="3"/>
  <c r="I42" i="2" s="1"/>
  <c r="H74" i="2"/>
  <c r="AF23" i="3"/>
  <c r="I25" i="2" s="1"/>
  <c r="H35" i="2"/>
  <c r="H30" i="2"/>
  <c r="H31" i="2"/>
  <c r="H136" i="2"/>
  <c r="H32" i="2"/>
  <c r="H93" i="2"/>
  <c r="H80" i="2"/>
  <c r="H22" i="2"/>
  <c r="H82" i="2"/>
  <c r="AF125" i="3"/>
  <c r="I127" i="2" s="1"/>
  <c r="H108" i="2"/>
  <c r="H132" i="2"/>
  <c r="H51" i="2"/>
  <c r="H90" i="2"/>
  <c r="H60" i="2"/>
  <c r="H38" i="2"/>
  <c r="H19" i="2"/>
  <c r="H28" i="2"/>
  <c r="H48" i="2"/>
  <c r="H36" i="2"/>
  <c r="H29" i="2"/>
  <c r="H49" i="2"/>
  <c r="H64" i="2"/>
  <c r="H126" i="2"/>
  <c r="H44" i="2"/>
  <c r="H57" i="2"/>
  <c r="AF94" i="3"/>
  <c r="I96" i="2" s="1"/>
  <c r="H96" i="2"/>
  <c r="AF122" i="3"/>
  <c r="I124" i="2" s="1"/>
  <c r="H124" i="2"/>
  <c r="AF60" i="3"/>
  <c r="I62" i="2" s="1"/>
  <c r="H62" i="2"/>
  <c r="AF93" i="3"/>
  <c r="I95" i="2" s="1"/>
  <c r="H95" i="2"/>
  <c r="AF69" i="3"/>
  <c r="I71" i="2" s="1"/>
  <c r="AF52" i="3"/>
  <c r="I54" i="2" s="1"/>
  <c r="AF53" i="3"/>
  <c r="I55" i="2" s="1"/>
  <c r="H55" i="2"/>
  <c r="H83" i="2"/>
  <c r="H76" i="2"/>
  <c r="H120" i="2"/>
  <c r="H111" i="2"/>
  <c r="AF37" i="3"/>
  <c r="I39" i="2" s="1"/>
  <c r="H39" i="2"/>
  <c r="H119" i="2"/>
  <c r="H121" i="2"/>
  <c r="H100" i="2"/>
  <c r="AF67" i="3"/>
  <c r="I69" i="2" s="1"/>
  <c r="H69" i="2"/>
  <c r="AF101" i="3"/>
  <c r="I103" i="2" s="1"/>
  <c r="H103" i="2"/>
  <c r="H115" i="2"/>
  <c r="H109" i="2"/>
  <c r="AF107" i="3"/>
  <c r="I109" i="2" s="1"/>
  <c r="H47" i="2"/>
  <c r="AF48" i="3"/>
  <c r="I50" i="2" s="1"/>
  <c r="H50" i="2"/>
  <c r="H70" i="2"/>
</calcChain>
</file>

<file path=xl/sharedStrings.xml><?xml version="1.0" encoding="utf-8"?>
<sst xmlns="http://schemas.openxmlformats.org/spreadsheetml/2006/main" count="263" uniqueCount="152">
  <si>
    <t>Damage</t>
  </si>
  <si>
    <t>Main Attribute</t>
  </si>
  <si>
    <t>Enemy Armor</t>
  </si>
  <si>
    <t>AGI</t>
  </si>
  <si>
    <t>STR</t>
  </si>
  <si>
    <t>INT</t>
  </si>
  <si>
    <t>Atk Spd</t>
  </si>
  <si>
    <t>BAT</t>
  </si>
  <si>
    <t>Hero Name:</t>
  </si>
  <si>
    <t>Base Attack Time</t>
  </si>
  <si>
    <t>DPS</t>
  </si>
  <si>
    <t>Atk.S/s</t>
  </si>
  <si>
    <t>Atk.S</t>
  </si>
  <si>
    <t>Base ATK.S</t>
  </si>
  <si>
    <t>*</t>
  </si>
  <si>
    <t>=</t>
  </si>
  <si>
    <t>Stat Values (Dmg/s)</t>
  </si>
  <si>
    <t>Shadow Blade</t>
  </si>
  <si>
    <t>Yasha</t>
  </si>
  <si>
    <t>Crystalys</t>
  </si>
  <si>
    <t>Daedalus</t>
  </si>
  <si>
    <t>Skull Basher</t>
  </si>
  <si>
    <t>Abyssal Blade</t>
  </si>
  <si>
    <t>Sange</t>
  </si>
  <si>
    <t>Heaven's Halberd</t>
  </si>
  <si>
    <t>Dragon Lance</t>
  </si>
  <si>
    <t>Maelstrom</t>
  </si>
  <si>
    <t>Mjollnir</t>
  </si>
  <si>
    <t>Hand of Midas</t>
  </si>
  <si>
    <t>Nullifier</t>
  </si>
  <si>
    <t>Butterfly</t>
  </si>
  <si>
    <t>Divine Rapier</t>
  </si>
  <si>
    <t>Assault Cuirass</t>
  </si>
  <si>
    <t>Gloves of Haste</t>
  </si>
  <si>
    <t>Sange and Yasha</t>
  </si>
  <si>
    <t>Monkey King Bar</t>
  </si>
  <si>
    <t>Armor Corr.</t>
  </si>
  <si>
    <t>Heart of Tarrasque</t>
  </si>
  <si>
    <t>Silver Edge</t>
  </si>
  <si>
    <t>Enemy M. Armor</t>
  </si>
  <si>
    <t>Value</t>
  </si>
  <si>
    <t>Value/Cost</t>
  </si>
  <si>
    <t>Sorted Value</t>
  </si>
  <si>
    <t>Sorted Value/Cost</t>
  </si>
  <si>
    <t>Original</t>
  </si>
  <si>
    <t>Name</t>
  </si>
  <si>
    <t>Damage Melee</t>
  </si>
  <si>
    <t>Damage Ranged</t>
  </si>
  <si>
    <t>Attack Speed</t>
  </si>
  <si>
    <t>Str</t>
  </si>
  <si>
    <t>Agi</t>
  </si>
  <si>
    <t>Int</t>
  </si>
  <si>
    <t>Cost</t>
  </si>
  <si>
    <t>Is Neutral</t>
  </si>
  <si>
    <t>Item Values</t>
  </si>
  <si>
    <t>Arm Corr.</t>
  </si>
  <si>
    <t>Items</t>
  </si>
  <si>
    <t>Assassin's Dagger</t>
  </si>
  <si>
    <t>Ballista</t>
  </si>
  <si>
    <t>Belt of Strength</t>
  </si>
  <si>
    <t>Battle Fury</t>
  </si>
  <si>
    <t>Black King Bar</t>
  </si>
  <si>
    <t>Blade Mail</t>
  </si>
  <si>
    <t>Blade of Alacrity</t>
  </si>
  <si>
    <t>Blades of Attack</t>
  </si>
  <si>
    <t>Blitz Knuckles</t>
  </si>
  <si>
    <t>Band of Elvenskin</t>
  </si>
  <si>
    <t>Broadsword</t>
  </si>
  <si>
    <t>Claymore</t>
  </si>
  <si>
    <t>Eul's Scepter of Divinity</t>
  </si>
  <si>
    <t>Demon Edge</t>
  </si>
  <si>
    <t>Book of the Dead</t>
  </si>
  <si>
    <t>Stygian Desolator</t>
  </si>
  <si>
    <t>Eaglesong</t>
  </si>
  <si>
    <t>Echo Sabre</t>
  </si>
  <si>
    <t>Faerie Fire</t>
  </si>
  <si>
    <t>Gauntlets of Strength</t>
  </si>
  <si>
    <t>Giant's Ring</t>
  </si>
  <si>
    <t>Greater Faerie Fire</t>
  </si>
  <si>
    <t>Gleipnir</t>
  </si>
  <si>
    <t>Havoc Hammer</t>
  </si>
  <si>
    <t>Hyperstone</t>
  </si>
  <si>
    <t>Imp Claw</t>
  </si>
  <si>
    <t>Iron Talon</t>
  </si>
  <si>
    <t>Manta Style</t>
  </si>
  <si>
    <t>Mantle of Intelligence</t>
  </si>
  <si>
    <t>Mask of Madness</t>
  </si>
  <si>
    <t>Minotaur Horn</t>
  </si>
  <si>
    <t>Mithril Hammer</t>
  </si>
  <si>
    <t>Moon Shard</t>
  </si>
  <si>
    <t>Mystic Staff</t>
  </si>
  <si>
    <t>Oblivion Staff</t>
  </si>
  <si>
    <t>Ogre Axe</t>
  </si>
  <si>
    <t>Overwhelming Blink</t>
  </si>
  <si>
    <t>Phase Boots</t>
  </si>
  <si>
    <t>Philosopher's Stone</t>
  </si>
  <si>
    <t>Poor Man's Shield</t>
  </si>
  <si>
    <t>Power Treads</t>
  </si>
  <si>
    <t>Quarterstaff</t>
  </si>
  <si>
    <t>Reaver</t>
  </si>
  <si>
    <t>Sacred Relic</t>
  </si>
  <si>
    <t>Robe of the Magi</t>
  </si>
  <si>
    <t>Rod of Atos</t>
  </si>
  <si>
    <t>Scythe of Vyse</t>
  </si>
  <si>
    <t>Shiva's Guard</t>
  </si>
  <si>
    <t>Slippers of Agility</t>
  </si>
  <si>
    <t>Staff of Wizardry</t>
  </si>
  <si>
    <t>Trident</t>
  </si>
  <si>
    <t>Vambrace</t>
  </si>
  <si>
    <t>Warhammer</t>
  </si>
  <si>
    <t>Wind Waker</t>
  </si>
  <si>
    <t>Witch Blade</t>
  </si>
  <si>
    <t>Blight Stone</t>
  </si>
  <si>
    <t>Armor Corruption</t>
  </si>
  <si>
    <t>Crit Multiplier</t>
  </si>
  <si>
    <t>Crit Chance</t>
  </si>
  <si>
    <t>Crit</t>
  </si>
  <si>
    <t>Javelin</t>
  </si>
  <si>
    <t>Magic</t>
  </si>
  <si>
    <t>Magic Damage</t>
  </si>
  <si>
    <t>Magic % Melee</t>
  </si>
  <si>
    <t>Magic % Ranged</t>
  </si>
  <si>
    <t>Armor Formula Base b</t>
  </si>
  <si>
    <t>Armor Formula Factor f</t>
  </si>
  <si>
    <t>Enemy D Mult</t>
  </si>
  <si>
    <t>-</t>
  </si>
  <si>
    <t>Iron Branch</t>
  </si>
  <si>
    <t>Circlet</t>
  </si>
  <si>
    <t>Crown</t>
  </si>
  <si>
    <t>Ghost Scepter</t>
  </si>
  <si>
    <t>Ironwood Tree</t>
  </si>
  <si>
    <t>Magic Wand</t>
  </si>
  <si>
    <t>Satchel</t>
  </si>
  <si>
    <t>Solar Crest</t>
  </si>
  <si>
    <t>Linken's Sphere</t>
  </si>
  <si>
    <t>Spirit Vessel</t>
  </si>
  <si>
    <t>Third Eye</t>
  </si>
  <si>
    <t>Ultimate Orb</t>
  </si>
  <si>
    <t>Aghanim's Scepter</t>
  </si>
  <si>
    <t>Urn of Shadows</t>
  </si>
  <si>
    <t>Veil of Discord</t>
  </si>
  <si>
    <t>Orb of Corrosion</t>
  </si>
  <si>
    <t>Heroes</t>
  </si>
  <si>
    <t>Attr</t>
  </si>
  <si>
    <t>Type</t>
  </si>
  <si>
    <t>AS</t>
  </si>
  <si>
    <t>Typed Hero:</t>
  </si>
  <si>
    <t>Found Hero:</t>
  </si>
  <si>
    <t>Attack Type</t>
  </si>
  <si>
    <t>Medusa</t>
  </si>
  <si>
    <t>Dota 2 Patch:</t>
  </si>
  <si>
    <t>7.30e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</si>
</sst>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ont="1" applyFill="1" applyAlignment="1">
      <alignment horizontal="center"/>
    </xf>
    <xf numFmtId="0" fontId="0" fillId="8" borderId="0" xfId="0" applyFont="1" applyFill="1"/>
    <xf numFmtId="0" fontId="0" fillId="10" borderId="0" xfId="0" applyFont="1" applyFill="1"/>
    <xf numFmtId="0" fontId="0" fillId="11" borderId="0" xfId="0" applyFill="1" applyAlignment="1">
      <alignment horizontal="center"/>
    </xf>
    <xf numFmtId="0" fontId="0" fillId="11" borderId="0" xfId="0" applyFill="1"/>
    <xf numFmtId="0" fontId="0" fillId="9" borderId="0" xfId="0" applyFill="1"/>
    <xf numFmtId="0" fontId="0" fillId="12" borderId="0" xfId="0" applyFill="1"/>
    <xf numFmtId="9" fontId="0" fillId="4" borderId="0" xfId="0" applyNumberFormat="1" applyFill="1"/>
    <xf numFmtId="0" fontId="1" fillId="7" borderId="0" xfId="0" applyFont="1" applyFill="1"/>
    <xf numFmtId="0" fontId="0" fillId="0" borderId="0" xfId="0" applyAlignment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1" fillId="16" borderId="0" xfId="0" applyFont="1" applyFill="1"/>
    <xf numFmtId="0" fontId="0" fillId="17" borderId="0" xfId="0" applyFill="1"/>
    <xf numFmtId="0" fontId="0" fillId="18" borderId="0" xfId="0" applyFill="1"/>
  </cellXfs>
  <cellStyles count="1">
    <cellStyle name="Normal" xfId="0" builtinId="0"/>
  </cellStyles>
  <dxfs count="3"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8D1609"/>
      <color rgb="FFFF00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10</xdr:row>
          <xdr:rowOff>57150</xdr:rowOff>
        </xdr:from>
        <xdr:to>
          <xdr:col>13</xdr:col>
          <xdr:colOff>361950</xdr:colOff>
          <xdr:row>13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ta2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s"/>
      <sheetName val="Heroes"/>
    </sheetNames>
    <sheetDataSet>
      <sheetData sheetId="0">
        <row r="1">
          <cell r="A1" t="str">
            <v>Abyssal Blade</v>
          </cell>
          <cell r="B1" t="str">
            <v>6250</v>
          </cell>
          <cell r="C1" t="str">
            <v>25</v>
          </cell>
          <cell r="D1" t="str">
            <v>0</v>
          </cell>
          <cell r="E1" t="str">
            <v>0</v>
          </cell>
          <cell r="F1" t="str">
            <v>0</v>
          </cell>
          <cell r="G1" t="str">
            <v>10</v>
          </cell>
          <cell r="H1" t="str">
            <v>0</v>
          </cell>
          <cell r="I1" t="str">
            <v>0</v>
          </cell>
          <cell r="J1" t="str">
            <v>0</v>
          </cell>
          <cell r="K1" t="str">
            <v>120</v>
          </cell>
          <cell r="L1" t="str">
            <v>0.25</v>
          </cell>
          <cell r="M1" t="str">
            <v>0.1</v>
          </cell>
          <cell r="N1" t="str">
            <v>1</v>
          </cell>
          <cell r="O1" t="str">
            <v>0</v>
          </cell>
          <cell r="P1" t="str">
            <v>false</v>
          </cell>
        </row>
        <row r="2">
          <cell r="A2" t="str">
            <v>Assassin's Dagger</v>
          </cell>
          <cell r="B2" t="str">
            <v>0</v>
          </cell>
          <cell r="C2" t="str">
            <v>30</v>
          </cell>
          <cell r="D2" t="str">
            <v>0</v>
          </cell>
          <cell r="E2" t="str">
            <v>0</v>
          </cell>
          <cell r="F2" t="str">
            <v>10</v>
          </cell>
          <cell r="G2" t="str">
            <v>0</v>
          </cell>
          <cell r="H2" t="str">
            <v>0</v>
          </cell>
          <cell r="I2" t="str">
            <v>0</v>
          </cell>
          <cell r="J2" t="str">
            <v>0</v>
          </cell>
          <cell r="K2" t="str">
            <v>0</v>
          </cell>
          <cell r="L2" t="str">
            <v>0</v>
          </cell>
          <cell r="M2" t="str">
            <v>0</v>
          </cell>
          <cell r="N2" t="str">
            <v>1</v>
          </cell>
          <cell r="O2" t="str">
            <v>0</v>
          </cell>
          <cell r="P2" t="str">
            <v>true</v>
          </cell>
        </row>
        <row r="3">
          <cell r="A3" t="str">
            <v>Assault Cuirass</v>
          </cell>
          <cell r="B3" t="str">
            <v>5125</v>
          </cell>
          <cell r="C3" t="str">
            <v>0</v>
          </cell>
          <cell r="D3" t="str">
            <v>0</v>
          </cell>
          <cell r="E3" t="str">
            <v>0</v>
          </cell>
          <cell r="F3" t="str">
            <v>30</v>
          </cell>
          <cell r="G3" t="str">
            <v>0</v>
          </cell>
          <cell r="H3" t="str">
            <v>0</v>
          </cell>
          <cell r="I3" t="str">
            <v>0</v>
          </cell>
          <cell r="J3" t="str">
            <v>0</v>
          </cell>
          <cell r="K3" t="str">
            <v>0</v>
          </cell>
          <cell r="L3" t="str">
            <v>0</v>
          </cell>
          <cell r="M3" t="str">
            <v>0</v>
          </cell>
          <cell r="N3" t="str">
            <v>1</v>
          </cell>
          <cell r="O3" t="str">
            <v>0</v>
          </cell>
          <cell r="P3" t="str">
            <v>false</v>
          </cell>
        </row>
        <row r="4">
          <cell r="A4" t="str">
            <v>Ballista</v>
          </cell>
          <cell r="B4" t="str">
            <v>0</v>
          </cell>
          <cell r="C4" t="str">
            <v>50</v>
          </cell>
          <cell r="D4" t="str">
            <v>0</v>
          </cell>
          <cell r="E4" t="str">
            <v>0</v>
          </cell>
          <cell r="F4" t="str">
            <v>0</v>
          </cell>
          <cell r="G4" t="str">
            <v>0</v>
          </cell>
          <cell r="H4" t="str">
            <v>0</v>
          </cell>
          <cell r="I4" t="str">
            <v>0</v>
          </cell>
          <cell r="J4" t="str">
            <v>0</v>
          </cell>
          <cell r="K4" t="str">
            <v>0</v>
          </cell>
          <cell r="L4" t="str">
            <v>0</v>
          </cell>
          <cell r="M4" t="str">
            <v>0</v>
          </cell>
          <cell r="N4" t="str">
            <v>1</v>
          </cell>
          <cell r="O4" t="str">
            <v>0</v>
          </cell>
          <cell r="P4" t="str">
            <v>true</v>
          </cell>
        </row>
        <row r="5">
          <cell r="A5" t="str">
            <v>Skull Basher</v>
          </cell>
          <cell r="B5" t="str">
            <v>2875</v>
          </cell>
          <cell r="C5" t="str">
            <v>25</v>
          </cell>
          <cell r="D5" t="str">
            <v>0</v>
          </cell>
          <cell r="E5" t="str">
            <v>0</v>
          </cell>
          <cell r="F5" t="str">
            <v>0</v>
          </cell>
          <cell r="G5" t="str">
            <v>10</v>
          </cell>
          <cell r="H5" t="str">
            <v>0</v>
          </cell>
          <cell r="I5" t="str">
            <v>0</v>
          </cell>
          <cell r="J5" t="str">
            <v>0</v>
          </cell>
          <cell r="K5" t="str">
            <v>100</v>
          </cell>
          <cell r="L5" t="str">
            <v>0.25</v>
          </cell>
          <cell r="M5" t="str">
            <v>0.1</v>
          </cell>
          <cell r="N5" t="str">
            <v>1</v>
          </cell>
          <cell r="O5" t="str">
            <v>0</v>
          </cell>
          <cell r="P5" t="str">
            <v>false</v>
          </cell>
        </row>
        <row r="6">
          <cell r="A6" t="str">
            <v>Belt of Strength</v>
          </cell>
          <cell r="B6" t="str">
            <v>450</v>
          </cell>
          <cell r="C6" t="str">
            <v>0</v>
          </cell>
          <cell r="D6" t="str">
            <v>0</v>
          </cell>
          <cell r="E6" t="str">
            <v>0</v>
          </cell>
          <cell r="F6" t="str">
            <v>0</v>
          </cell>
          <cell r="G6" t="str">
            <v>6</v>
          </cell>
          <cell r="H6" t="str">
            <v>0</v>
          </cell>
          <cell r="I6" t="str">
            <v>0</v>
          </cell>
          <cell r="J6" t="str">
            <v>0</v>
          </cell>
          <cell r="K6" t="str">
            <v>0</v>
          </cell>
          <cell r="L6" t="str">
            <v>0</v>
          </cell>
          <cell r="M6" t="str">
            <v>0</v>
          </cell>
          <cell r="N6" t="str">
            <v>1</v>
          </cell>
          <cell r="O6" t="str">
            <v>0</v>
          </cell>
          <cell r="P6" t="str">
            <v>false</v>
          </cell>
        </row>
        <row r="7">
          <cell r="A7" t="str">
            <v>Battle Fury</v>
          </cell>
          <cell r="B7" t="str">
            <v>4100</v>
          </cell>
          <cell r="C7" t="str">
            <v>60</v>
          </cell>
          <cell r="D7" t="str">
            <v>0</v>
          </cell>
          <cell r="E7" t="str">
            <v>0</v>
          </cell>
          <cell r="F7" t="str">
            <v>0</v>
          </cell>
          <cell r="G7" t="str">
            <v>0</v>
          </cell>
          <cell r="H7" t="str">
            <v>0</v>
          </cell>
          <cell r="I7" t="str">
            <v>0</v>
          </cell>
          <cell r="J7" t="str">
            <v>0</v>
          </cell>
          <cell r="K7" t="str">
            <v>0</v>
          </cell>
          <cell r="L7" t="str">
            <v>0</v>
          </cell>
          <cell r="M7" t="str">
            <v>0</v>
          </cell>
          <cell r="N7" t="str">
            <v>1</v>
          </cell>
          <cell r="O7" t="str">
            <v>0</v>
          </cell>
          <cell r="P7" t="str">
            <v>false</v>
          </cell>
        </row>
        <row r="8">
          <cell r="A8" t="str">
            <v>Black King Bar</v>
          </cell>
          <cell r="B8" t="str">
            <v>4050</v>
          </cell>
          <cell r="C8" t="str">
            <v>24</v>
          </cell>
          <cell r="D8" t="str">
            <v>0</v>
          </cell>
          <cell r="E8" t="str">
            <v>0</v>
          </cell>
          <cell r="F8" t="str">
            <v>0</v>
          </cell>
          <cell r="G8" t="str">
            <v>10</v>
          </cell>
          <cell r="H8" t="str">
            <v>0</v>
          </cell>
          <cell r="I8" t="str">
            <v>0</v>
          </cell>
          <cell r="J8" t="str">
            <v>0</v>
          </cell>
          <cell r="K8" t="str">
            <v>0</v>
          </cell>
          <cell r="L8" t="str">
            <v>0</v>
          </cell>
          <cell r="M8" t="str">
            <v>0</v>
          </cell>
          <cell r="N8" t="str">
            <v>1</v>
          </cell>
          <cell r="O8" t="str">
            <v>0</v>
          </cell>
          <cell r="P8" t="str">
            <v>false</v>
          </cell>
        </row>
        <row r="9">
          <cell r="A9" t="str">
            <v>Blade Mail</v>
          </cell>
          <cell r="B9" t="str">
            <v>2100</v>
          </cell>
          <cell r="C9" t="str">
            <v>28</v>
          </cell>
          <cell r="D9" t="str">
            <v>0</v>
          </cell>
          <cell r="E9" t="str">
            <v>0</v>
          </cell>
          <cell r="F9" t="str">
            <v>0</v>
          </cell>
          <cell r="G9" t="str">
            <v>0</v>
          </cell>
          <cell r="H9" t="str">
            <v>0</v>
          </cell>
          <cell r="I9" t="str">
            <v>0</v>
          </cell>
          <cell r="J9" t="str">
            <v>0</v>
          </cell>
          <cell r="K9" t="str">
            <v>0</v>
          </cell>
          <cell r="L9" t="str">
            <v>0</v>
          </cell>
          <cell r="M9" t="str">
            <v>0</v>
          </cell>
          <cell r="N9" t="str">
            <v>1</v>
          </cell>
          <cell r="O9" t="str">
            <v>0</v>
          </cell>
          <cell r="P9" t="str">
            <v>false</v>
          </cell>
        </row>
        <row r="10">
          <cell r="A10" t="str">
            <v>Blade of Alacrity</v>
          </cell>
          <cell r="B10" t="str">
            <v>1000</v>
          </cell>
          <cell r="C10" t="str">
            <v>0</v>
          </cell>
          <cell r="D10" t="str">
            <v>0</v>
          </cell>
          <cell r="E10" t="str">
            <v>0</v>
          </cell>
          <cell r="F10" t="str">
            <v>0</v>
          </cell>
          <cell r="G10" t="str">
            <v>0</v>
          </cell>
          <cell r="H10" t="str">
            <v>10</v>
          </cell>
          <cell r="I10" t="str">
            <v>0</v>
          </cell>
          <cell r="J10" t="str">
            <v>0</v>
          </cell>
          <cell r="K10" t="str">
            <v>0</v>
          </cell>
          <cell r="L10" t="str">
            <v>0</v>
          </cell>
          <cell r="M10" t="str">
            <v>0</v>
          </cell>
          <cell r="N10" t="str">
            <v>1</v>
          </cell>
          <cell r="O10" t="str">
            <v>0</v>
          </cell>
          <cell r="P10" t="str">
            <v>false</v>
          </cell>
        </row>
        <row r="11">
          <cell r="A11" t="str">
            <v>Blades of Attack</v>
          </cell>
          <cell r="B11" t="str">
            <v>450</v>
          </cell>
          <cell r="C11" t="str">
            <v>9</v>
          </cell>
          <cell r="D11" t="str">
            <v>0</v>
          </cell>
          <cell r="E11" t="str">
            <v>0</v>
          </cell>
          <cell r="F11" t="str">
            <v>0</v>
          </cell>
          <cell r="G11" t="str">
            <v>0</v>
          </cell>
          <cell r="H11" t="str">
            <v>0</v>
          </cell>
          <cell r="I11" t="str">
            <v>0</v>
          </cell>
          <cell r="J11" t="str">
            <v>0</v>
          </cell>
          <cell r="K11" t="str">
            <v>0</v>
          </cell>
          <cell r="L11" t="str">
            <v>0</v>
          </cell>
          <cell r="M11" t="str">
            <v>0</v>
          </cell>
          <cell r="N11" t="str">
            <v>1</v>
          </cell>
          <cell r="O11" t="str">
            <v>0</v>
          </cell>
          <cell r="P11" t="str">
            <v>false</v>
          </cell>
        </row>
        <row r="12">
          <cell r="A12" t="str">
            <v>Blight Stone</v>
          </cell>
          <cell r="B12" t="str">
            <v>300</v>
          </cell>
          <cell r="C12" t="str">
            <v>0</v>
          </cell>
          <cell r="D12" t="str">
            <v>0</v>
          </cell>
          <cell r="E12" t="str">
            <v>0</v>
          </cell>
          <cell r="F12" t="str">
            <v>0</v>
          </cell>
          <cell r="G12" t="str">
            <v>0</v>
          </cell>
          <cell r="H12" t="str">
            <v>0</v>
          </cell>
          <cell r="I12" t="str">
            <v>0</v>
          </cell>
          <cell r="J12" t="str">
            <v>-2</v>
          </cell>
          <cell r="K12" t="str">
            <v>0</v>
          </cell>
          <cell r="L12" t="str">
            <v>0</v>
          </cell>
          <cell r="M12" t="str">
            <v>0</v>
          </cell>
          <cell r="N12" t="str">
            <v>1</v>
          </cell>
          <cell r="O12" t="str">
            <v>0</v>
          </cell>
          <cell r="P12" t="str">
            <v>false</v>
          </cell>
        </row>
        <row r="13">
          <cell r="A13" t="str">
            <v>Blitz Knuckles</v>
          </cell>
          <cell r="B13" t="str">
            <v>1000</v>
          </cell>
          <cell r="C13" t="str">
            <v>0</v>
          </cell>
          <cell r="D13" t="str">
            <v>0</v>
          </cell>
          <cell r="E13" t="str">
            <v>0</v>
          </cell>
          <cell r="F13" t="str">
            <v>35</v>
          </cell>
          <cell r="G13" t="str">
            <v>0</v>
          </cell>
          <cell r="H13" t="str">
            <v>0</v>
          </cell>
          <cell r="I13" t="str">
            <v>0</v>
          </cell>
          <cell r="J13" t="str">
            <v>0</v>
          </cell>
          <cell r="K13" t="str">
            <v>0</v>
          </cell>
          <cell r="L13" t="str">
            <v>0</v>
          </cell>
          <cell r="M13" t="str">
            <v>0</v>
          </cell>
          <cell r="N13" t="str">
            <v>1</v>
          </cell>
          <cell r="O13" t="str">
            <v>0</v>
          </cell>
          <cell r="P13" t="str">
            <v>false</v>
          </cell>
        </row>
        <row r="14">
          <cell r="A14" t="str">
            <v>Band of Elvenskin</v>
          </cell>
          <cell r="B14" t="str">
            <v>450</v>
          </cell>
          <cell r="C14" t="str">
            <v>0</v>
          </cell>
          <cell r="D14" t="str">
            <v>0</v>
          </cell>
          <cell r="E14" t="str">
            <v>0</v>
          </cell>
          <cell r="F14" t="str">
            <v>0</v>
          </cell>
          <cell r="G14" t="str">
            <v>0</v>
          </cell>
          <cell r="H14" t="str">
            <v>6</v>
          </cell>
          <cell r="I14" t="str">
            <v>0</v>
          </cell>
          <cell r="J14" t="str">
            <v>0</v>
          </cell>
          <cell r="K14" t="str">
            <v>0</v>
          </cell>
          <cell r="L14" t="str">
            <v>0</v>
          </cell>
          <cell r="M14" t="str">
            <v>0</v>
          </cell>
          <cell r="N14" t="str">
            <v>1</v>
          </cell>
          <cell r="O14" t="str">
            <v>0</v>
          </cell>
          <cell r="P14" t="str">
            <v>false</v>
          </cell>
        </row>
        <row r="15">
          <cell r="A15" t="str">
            <v>Iron Branch</v>
          </cell>
          <cell r="B15" t="str">
            <v>50</v>
          </cell>
          <cell r="C15" t="str">
            <v>0</v>
          </cell>
          <cell r="D15" t="str">
            <v>0</v>
          </cell>
          <cell r="E15" t="str">
            <v>0</v>
          </cell>
          <cell r="F15" t="str">
            <v>0</v>
          </cell>
          <cell r="G15" t="str">
            <v>1</v>
          </cell>
          <cell r="H15" t="str">
            <v>1</v>
          </cell>
          <cell r="I15" t="str">
            <v>1</v>
          </cell>
          <cell r="J15" t="str">
            <v>0</v>
          </cell>
          <cell r="K15" t="str">
            <v>0</v>
          </cell>
          <cell r="L15" t="str">
            <v>0</v>
          </cell>
          <cell r="M15" t="str">
            <v>0</v>
          </cell>
          <cell r="N15" t="str">
            <v>1</v>
          </cell>
          <cell r="O15" t="str">
            <v>0</v>
          </cell>
          <cell r="P15" t="str">
            <v>false</v>
          </cell>
        </row>
        <row r="16">
          <cell r="A16" t="str">
            <v>Broadsword</v>
          </cell>
          <cell r="B16" t="str">
            <v>1000</v>
          </cell>
          <cell r="C16" t="str">
            <v>15</v>
          </cell>
          <cell r="D16" t="str">
            <v>0</v>
          </cell>
          <cell r="E16" t="str">
            <v>0</v>
          </cell>
          <cell r="F16" t="str">
            <v>0</v>
          </cell>
          <cell r="G16" t="str">
            <v>0</v>
          </cell>
          <cell r="H16" t="str">
            <v>0</v>
          </cell>
          <cell r="I16" t="str">
            <v>0</v>
          </cell>
          <cell r="J16" t="str">
            <v>0</v>
          </cell>
          <cell r="K16" t="str">
            <v>0</v>
          </cell>
          <cell r="L16" t="str">
            <v>0</v>
          </cell>
          <cell r="M16" t="str">
            <v>0</v>
          </cell>
          <cell r="N16" t="str">
            <v>1</v>
          </cell>
          <cell r="O16" t="str">
            <v>0</v>
          </cell>
          <cell r="P16" t="str">
            <v>false</v>
          </cell>
        </row>
        <row r="17">
          <cell r="A17" t="str">
            <v>Butterfly</v>
          </cell>
          <cell r="B17" t="str">
            <v>4975</v>
          </cell>
          <cell r="C17" t="str">
            <v>25</v>
          </cell>
          <cell r="D17" t="str">
            <v>0</v>
          </cell>
          <cell r="E17" t="str">
            <v>0</v>
          </cell>
          <cell r="F17" t="str">
            <v>30</v>
          </cell>
          <cell r="G17" t="str">
            <v>0</v>
          </cell>
          <cell r="H17" t="str">
            <v>35</v>
          </cell>
          <cell r="I17" t="str">
            <v>0</v>
          </cell>
          <cell r="J17" t="str">
            <v>0</v>
          </cell>
          <cell r="K17" t="str">
            <v>0</v>
          </cell>
          <cell r="L17" t="str">
            <v>0</v>
          </cell>
          <cell r="M17" t="str">
            <v>0</v>
          </cell>
          <cell r="N17" t="str">
            <v>1</v>
          </cell>
          <cell r="O17" t="str">
            <v>0</v>
          </cell>
          <cell r="P17" t="str">
            <v>false</v>
          </cell>
        </row>
        <row r="18">
          <cell r="A18" t="str">
            <v>Circlet</v>
          </cell>
          <cell r="B18" t="str">
            <v>155</v>
          </cell>
          <cell r="C18" t="str">
            <v>0</v>
          </cell>
          <cell r="D18" t="str">
            <v>0</v>
          </cell>
          <cell r="E18" t="str">
            <v>0</v>
          </cell>
          <cell r="F18" t="str">
            <v>0</v>
          </cell>
          <cell r="G18" t="str">
            <v>2</v>
          </cell>
          <cell r="H18" t="str">
            <v>2</v>
          </cell>
          <cell r="I18" t="str">
            <v>2</v>
          </cell>
          <cell r="J18" t="str">
            <v>0</v>
          </cell>
          <cell r="K18" t="str">
            <v>0</v>
          </cell>
          <cell r="L18" t="str">
            <v>0</v>
          </cell>
          <cell r="M18" t="str">
            <v>0</v>
          </cell>
          <cell r="N18" t="str">
            <v>1</v>
          </cell>
          <cell r="O18" t="str">
            <v>0</v>
          </cell>
          <cell r="P18" t="str">
            <v>false</v>
          </cell>
        </row>
        <row r="19">
          <cell r="A19" t="str">
            <v>Claymore</v>
          </cell>
          <cell r="B19" t="str">
            <v>1350</v>
          </cell>
          <cell r="C19" t="str">
            <v>20</v>
          </cell>
          <cell r="D19" t="str">
            <v>0</v>
          </cell>
          <cell r="E19" t="str">
            <v>0</v>
          </cell>
          <cell r="F19" t="str">
            <v>0</v>
          </cell>
          <cell r="G19" t="str">
            <v>0</v>
          </cell>
          <cell r="H19" t="str">
            <v>0</v>
          </cell>
          <cell r="I19" t="str">
            <v>0</v>
          </cell>
          <cell r="J19" t="str">
            <v>0</v>
          </cell>
          <cell r="K19" t="str">
            <v>0</v>
          </cell>
          <cell r="L19" t="str">
            <v>0</v>
          </cell>
          <cell r="M19" t="str">
            <v>0</v>
          </cell>
          <cell r="N19" t="str">
            <v>1</v>
          </cell>
          <cell r="O19" t="str">
            <v>0</v>
          </cell>
          <cell r="P19" t="str">
            <v>false</v>
          </cell>
        </row>
        <row r="20">
          <cell r="A20" t="str">
            <v>Crown</v>
          </cell>
          <cell r="B20" t="str">
            <v>450</v>
          </cell>
          <cell r="C20" t="str">
            <v>0</v>
          </cell>
          <cell r="D20" t="str">
            <v>0</v>
          </cell>
          <cell r="E20" t="str">
            <v>0</v>
          </cell>
          <cell r="F20" t="str">
            <v>0</v>
          </cell>
          <cell r="G20" t="str">
            <v>4</v>
          </cell>
          <cell r="H20" t="str">
            <v>4</v>
          </cell>
          <cell r="I20" t="str">
            <v>4</v>
          </cell>
          <cell r="J20" t="str">
            <v>0</v>
          </cell>
          <cell r="K20" t="str">
            <v>0</v>
          </cell>
          <cell r="L20" t="str">
            <v>0</v>
          </cell>
          <cell r="M20" t="str">
            <v>0</v>
          </cell>
          <cell r="N20" t="str">
            <v>1</v>
          </cell>
          <cell r="O20" t="str">
            <v>0</v>
          </cell>
          <cell r="P20" t="str">
            <v>false</v>
          </cell>
        </row>
        <row r="21">
          <cell r="A21" t="str">
            <v>Eul's Scepter of Divinity</v>
          </cell>
          <cell r="B21" t="str">
            <v>2725</v>
          </cell>
          <cell r="C21" t="str">
            <v>0</v>
          </cell>
          <cell r="D21" t="str">
            <v>0</v>
          </cell>
          <cell r="E21" t="str">
            <v>0</v>
          </cell>
          <cell r="F21" t="str">
            <v>0</v>
          </cell>
          <cell r="G21" t="str">
            <v>0</v>
          </cell>
          <cell r="H21" t="str">
            <v>0</v>
          </cell>
          <cell r="I21" t="str">
            <v>10</v>
          </cell>
          <cell r="J21" t="str">
            <v>0</v>
          </cell>
          <cell r="K21" t="str">
            <v>0</v>
          </cell>
          <cell r="L21" t="str">
            <v>0</v>
          </cell>
          <cell r="M21" t="str">
            <v>0</v>
          </cell>
          <cell r="N21" t="str">
            <v>1</v>
          </cell>
          <cell r="O21" t="str">
            <v>0</v>
          </cell>
          <cell r="P21" t="str">
            <v>false</v>
          </cell>
        </row>
        <row r="22">
          <cell r="A22" t="str">
            <v>Demon Edge</v>
          </cell>
          <cell r="B22" t="str">
            <v>2200</v>
          </cell>
          <cell r="C22" t="str">
            <v>40</v>
          </cell>
          <cell r="D22" t="str">
            <v>0</v>
          </cell>
          <cell r="E22" t="str">
            <v>0</v>
          </cell>
          <cell r="F22" t="str">
            <v>0</v>
          </cell>
          <cell r="G22" t="str">
            <v>0</v>
          </cell>
          <cell r="H22" t="str">
            <v>0</v>
          </cell>
          <cell r="I22" t="str">
            <v>0</v>
          </cell>
          <cell r="J22" t="str">
            <v>0</v>
          </cell>
          <cell r="K22" t="str">
            <v>0</v>
          </cell>
          <cell r="L22" t="str">
            <v>0</v>
          </cell>
          <cell r="M22" t="str">
            <v>0</v>
          </cell>
          <cell r="N22" t="str">
            <v>1</v>
          </cell>
          <cell r="O22" t="str">
            <v>0</v>
          </cell>
          <cell r="P22" t="str">
            <v>false</v>
          </cell>
        </row>
        <row r="23">
          <cell r="A23" t="str">
            <v>Book of the Dead</v>
          </cell>
          <cell r="B23" t="str">
            <v>0</v>
          </cell>
          <cell r="C23" t="str">
            <v>0</v>
          </cell>
          <cell r="D23" t="str">
            <v>0</v>
          </cell>
          <cell r="E23" t="str">
            <v>0</v>
          </cell>
          <cell r="F23" t="str">
            <v>0</v>
          </cell>
          <cell r="G23" t="str">
            <v>30</v>
          </cell>
          <cell r="H23" t="str">
            <v>0</v>
          </cell>
          <cell r="I23" t="str">
            <v>30</v>
          </cell>
          <cell r="J23" t="str">
            <v>0</v>
          </cell>
          <cell r="K23" t="str">
            <v>0</v>
          </cell>
          <cell r="L23" t="str">
            <v>0</v>
          </cell>
          <cell r="M23" t="str">
            <v>0</v>
          </cell>
          <cell r="N23" t="str">
            <v>1</v>
          </cell>
          <cell r="O23" t="str">
            <v>0</v>
          </cell>
          <cell r="P23" t="str">
            <v>true</v>
          </cell>
        </row>
        <row r="24">
          <cell r="A24" t="str">
            <v>Stygian Desolator</v>
          </cell>
          <cell r="B24" t="str">
            <v>0</v>
          </cell>
          <cell r="C24" t="str">
            <v>60</v>
          </cell>
          <cell r="D24" t="str">
            <v>0</v>
          </cell>
          <cell r="E24" t="str">
            <v>0</v>
          </cell>
          <cell r="F24" t="str">
            <v>0</v>
          </cell>
          <cell r="G24" t="str">
            <v>0</v>
          </cell>
          <cell r="H24" t="str">
            <v>0</v>
          </cell>
          <cell r="I24" t="str">
            <v>0</v>
          </cell>
          <cell r="J24" t="str">
            <v>-10</v>
          </cell>
          <cell r="K24" t="str">
            <v>0</v>
          </cell>
          <cell r="L24" t="str">
            <v>0</v>
          </cell>
          <cell r="M24" t="str">
            <v>0</v>
          </cell>
          <cell r="N24" t="str">
            <v>1</v>
          </cell>
          <cell r="O24" t="str">
            <v>0</v>
          </cell>
          <cell r="P24" t="str">
            <v>true</v>
          </cell>
        </row>
        <row r="25">
          <cell r="A25" t="str">
            <v>Dragon Lance</v>
          </cell>
          <cell r="B25" t="str">
            <v>1900</v>
          </cell>
          <cell r="C25" t="str">
            <v>0</v>
          </cell>
          <cell r="D25" t="str">
            <v>0</v>
          </cell>
          <cell r="E25" t="str">
            <v>0</v>
          </cell>
          <cell r="F25" t="str">
            <v>0</v>
          </cell>
          <cell r="G25" t="str">
            <v>12</v>
          </cell>
          <cell r="H25" t="str">
            <v>16</v>
          </cell>
          <cell r="I25" t="str">
            <v>0</v>
          </cell>
          <cell r="J25" t="str">
            <v>0</v>
          </cell>
          <cell r="K25" t="str">
            <v>0</v>
          </cell>
          <cell r="L25" t="str">
            <v>0</v>
          </cell>
          <cell r="M25" t="str">
            <v>0</v>
          </cell>
          <cell r="N25" t="str">
            <v>1</v>
          </cell>
          <cell r="O25" t="str">
            <v>0</v>
          </cell>
          <cell r="P25" t="str">
            <v>false</v>
          </cell>
        </row>
        <row r="26">
          <cell r="A26" t="str">
            <v>Eaglesong</v>
          </cell>
          <cell r="B26" t="str">
            <v>2800</v>
          </cell>
          <cell r="C26" t="str">
            <v>0</v>
          </cell>
          <cell r="D26" t="str">
            <v>0</v>
          </cell>
          <cell r="E26" t="str">
            <v>0</v>
          </cell>
          <cell r="F26" t="str">
            <v>0</v>
          </cell>
          <cell r="G26" t="str">
            <v>0</v>
          </cell>
          <cell r="H26" t="str">
            <v>25</v>
          </cell>
          <cell r="I26" t="str">
            <v>0</v>
          </cell>
          <cell r="J26" t="str">
            <v>0</v>
          </cell>
          <cell r="K26" t="str">
            <v>0</v>
          </cell>
          <cell r="L26" t="str">
            <v>0</v>
          </cell>
          <cell r="M26" t="str">
            <v>0</v>
          </cell>
          <cell r="N26" t="str">
            <v>1</v>
          </cell>
          <cell r="O26" t="str">
            <v>0</v>
          </cell>
          <cell r="P26" t="str">
            <v>false</v>
          </cell>
        </row>
        <row r="27">
          <cell r="A27" t="str">
            <v>Echo Sabre</v>
          </cell>
          <cell r="B27" t="str">
            <v>2500</v>
          </cell>
          <cell r="C27" t="str">
            <v>15</v>
          </cell>
          <cell r="D27" t="str">
            <v>0</v>
          </cell>
          <cell r="E27" t="str">
            <v>0</v>
          </cell>
          <cell r="F27" t="str">
            <v>10</v>
          </cell>
          <cell r="G27" t="str">
            <v>13</v>
          </cell>
          <cell r="H27" t="str">
            <v>0</v>
          </cell>
          <cell r="I27" t="str">
            <v>10</v>
          </cell>
          <cell r="J27" t="str">
            <v>0</v>
          </cell>
          <cell r="K27" t="str">
            <v>0</v>
          </cell>
          <cell r="L27" t="str">
            <v>0</v>
          </cell>
          <cell r="M27" t="str">
            <v>0</v>
          </cell>
          <cell r="N27" t="str">
            <v>1</v>
          </cell>
          <cell r="O27" t="str">
            <v>0</v>
          </cell>
          <cell r="P27" t="str">
            <v>false</v>
          </cell>
        </row>
        <row r="28">
          <cell r="A28" t="str">
            <v>Faerie Fire</v>
          </cell>
          <cell r="B28" t="str">
            <v>70</v>
          </cell>
          <cell r="C28" t="str">
            <v>2</v>
          </cell>
          <cell r="D28" t="str">
            <v>0</v>
          </cell>
          <cell r="E28" t="str">
            <v>0</v>
          </cell>
          <cell r="F28" t="str">
            <v>0</v>
          </cell>
          <cell r="G28" t="str">
            <v>0</v>
          </cell>
          <cell r="H28" t="str">
            <v>0</v>
          </cell>
          <cell r="I28" t="str">
            <v>0</v>
          </cell>
          <cell r="J28" t="str">
            <v>0</v>
          </cell>
          <cell r="K28" t="str">
            <v>0</v>
          </cell>
          <cell r="L28" t="str">
            <v>0</v>
          </cell>
          <cell r="M28" t="str">
            <v>0</v>
          </cell>
          <cell r="N28" t="str">
            <v>1</v>
          </cell>
          <cell r="O28" t="str">
            <v>0</v>
          </cell>
          <cell r="P28" t="str">
            <v>false</v>
          </cell>
        </row>
        <row r="29">
          <cell r="A29" t="str">
            <v>Gauntlets of Strength</v>
          </cell>
          <cell r="B29" t="str">
            <v>140</v>
          </cell>
          <cell r="C29" t="str">
            <v>0</v>
          </cell>
          <cell r="D29" t="str">
            <v>0</v>
          </cell>
          <cell r="E29" t="str">
            <v>0</v>
          </cell>
          <cell r="F29" t="str">
            <v>0</v>
          </cell>
          <cell r="G29" t="str">
            <v>3</v>
          </cell>
          <cell r="H29" t="str">
            <v>0</v>
          </cell>
          <cell r="I29" t="str">
            <v>0</v>
          </cell>
          <cell r="J29" t="str">
            <v>0</v>
          </cell>
          <cell r="K29" t="str">
            <v>0</v>
          </cell>
          <cell r="L29" t="str">
            <v>0</v>
          </cell>
          <cell r="M29" t="str">
            <v>0</v>
          </cell>
          <cell r="N29" t="str">
            <v>1</v>
          </cell>
          <cell r="O29" t="str">
            <v>0</v>
          </cell>
          <cell r="P29" t="str">
            <v>false</v>
          </cell>
        </row>
        <row r="30">
          <cell r="A30" t="str">
            <v>Ghost Scepter</v>
          </cell>
          <cell r="B30" t="str">
            <v>1500</v>
          </cell>
          <cell r="C30" t="str">
            <v>0</v>
          </cell>
          <cell r="D30" t="str">
            <v>0</v>
          </cell>
          <cell r="E30" t="str">
            <v>0</v>
          </cell>
          <cell r="F30" t="str">
            <v>0</v>
          </cell>
          <cell r="G30" t="str">
            <v>5</v>
          </cell>
          <cell r="H30" t="str">
            <v>5</v>
          </cell>
          <cell r="I30" t="str">
            <v>5</v>
          </cell>
          <cell r="J30" t="str">
            <v>0</v>
          </cell>
          <cell r="K30" t="str">
            <v>0</v>
          </cell>
          <cell r="L30" t="str">
            <v>0</v>
          </cell>
          <cell r="M30" t="str">
            <v>0</v>
          </cell>
          <cell r="N30" t="str">
            <v>1</v>
          </cell>
          <cell r="O30" t="str">
            <v>0</v>
          </cell>
          <cell r="P30" t="str">
            <v>false</v>
          </cell>
        </row>
        <row r="31">
          <cell r="A31" t="str">
            <v>Giant's Ring</v>
          </cell>
          <cell r="B31" t="str">
            <v>0</v>
          </cell>
          <cell r="C31" t="str">
            <v>0</v>
          </cell>
          <cell r="D31" t="str">
            <v>0</v>
          </cell>
          <cell r="E31" t="str">
            <v>0</v>
          </cell>
          <cell r="F31" t="str">
            <v>0</v>
          </cell>
          <cell r="G31" t="str">
            <v>35</v>
          </cell>
          <cell r="H31" t="str">
            <v>0</v>
          </cell>
          <cell r="I31" t="str">
            <v>0</v>
          </cell>
          <cell r="J31" t="str">
            <v>0</v>
          </cell>
          <cell r="K31" t="str">
            <v>0</v>
          </cell>
          <cell r="L31" t="str">
            <v>0</v>
          </cell>
          <cell r="M31" t="str">
            <v>0</v>
          </cell>
          <cell r="N31" t="str">
            <v>1</v>
          </cell>
          <cell r="O31" t="str">
            <v>0</v>
          </cell>
          <cell r="P31" t="str">
            <v>true</v>
          </cell>
        </row>
        <row r="32">
          <cell r="A32" t="str">
            <v>Gloves of Haste</v>
          </cell>
          <cell r="B32" t="str">
            <v>450</v>
          </cell>
          <cell r="C32" t="str">
            <v>0</v>
          </cell>
          <cell r="D32" t="str">
            <v>0</v>
          </cell>
          <cell r="E32" t="str">
            <v>0</v>
          </cell>
          <cell r="F32" t="str">
            <v>20</v>
          </cell>
          <cell r="G32" t="str">
            <v>0</v>
          </cell>
          <cell r="H32" t="str">
            <v>0</v>
          </cell>
          <cell r="I32" t="str">
            <v>0</v>
          </cell>
          <cell r="J32" t="str">
            <v>0</v>
          </cell>
          <cell r="K32" t="str">
            <v>0</v>
          </cell>
          <cell r="L32" t="str">
            <v>0</v>
          </cell>
          <cell r="M32" t="str">
            <v>0</v>
          </cell>
          <cell r="N32" t="str">
            <v>1</v>
          </cell>
          <cell r="O32" t="str">
            <v>0</v>
          </cell>
          <cell r="P32" t="str">
            <v>false</v>
          </cell>
        </row>
        <row r="33">
          <cell r="A33" t="str">
            <v>Daedalus</v>
          </cell>
          <cell r="B33" t="str">
            <v>5150</v>
          </cell>
          <cell r="C33" t="str">
            <v>88</v>
          </cell>
          <cell r="D33" t="str">
            <v>0</v>
          </cell>
          <cell r="E33" t="str">
            <v>0</v>
          </cell>
          <cell r="F33" t="str">
            <v>0</v>
          </cell>
          <cell r="G33" t="str">
            <v>0</v>
          </cell>
          <cell r="H33" t="str">
            <v>0</v>
          </cell>
          <cell r="I33" t="str">
            <v>0</v>
          </cell>
          <cell r="J33" t="str">
            <v>0</v>
          </cell>
          <cell r="K33" t="str">
            <v>0</v>
          </cell>
          <cell r="L33" t="str">
            <v>0</v>
          </cell>
          <cell r="M33" t="str">
            <v>0</v>
          </cell>
          <cell r="N33" t="str">
            <v>2.25</v>
          </cell>
          <cell r="O33" t="str">
            <v>0.3</v>
          </cell>
          <cell r="P33" t="str">
            <v>false</v>
          </cell>
        </row>
        <row r="34">
          <cell r="A34" t="str">
            <v>Greater Faerie Fire</v>
          </cell>
          <cell r="B34" t="str">
            <v>0</v>
          </cell>
          <cell r="C34" t="str">
            <v>20</v>
          </cell>
          <cell r="D34" t="str">
            <v>0</v>
          </cell>
          <cell r="E34" t="str">
            <v>0</v>
          </cell>
          <cell r="F34" t="str">
            <v>0</v>
          </cell>
          <cell r="G34" t="str">
            <v>0</v>
          </cell>
          <cell r="H34" t="str">
            <v>0</v>
          </cell>
          <cell r="I34" t="str">
            <v>0</v>
          </cell>
          <cell r="J34" t="str">
            <v>0</v>
          </cell>
          <cell r="K34" t="str">
            <v>0</v>
          </cell>
          <cell r="L34" t="str">
            <v>0</v>
          </cell>
          <cell r="M34" t="str">
            <v>0</v>
          </cell>
          <cell r="N34" t="str">
            <v>1</v>
          </cell>
          <cell r="O34" t="str">
            <v>0</v>
          </cell>
          <cell r="P34" t="str">
            <v>true</v>
          </cell>
        </row>
        <row r="35">
          <cell r="A35" t="str">
            <v>Gleipnir</v>
          </cell>
          <cell r="B35" t="str">
            <v>6150</v>
          </cell>
          <cell r="C35" t="str">
            <v>30</v>
          </cell>
          <cell r="D35" t="str">
            <v>0</v>
          </cell>
          <cell r="E35" t="str">
            <v>0</v>
          </cell>
          <cell r="F35" t="str">
            <v>0</v>
          </cell>
          <cell r="G35" t="str">
            <v>14</v>
          </cell>
          <cell r="H35" t="str">
            <v>14</v>
          </cell>
          <cell r="I35" t="str">
            <v>24</v>
          </cell>
          <cell r="J35" t="str">
            <v>0</v>
          </cell>
          <cell r="K35" t="str">
            <v>160</v>
          </cell>
          <cell r="L35" t="str">
            <v>0.3</v>
          </cell>
          <cell r="M35" t="str">
            <v>0.3</v>
          </cell>
          <cell r="N35" t="str">
            <v>1</v>
          </cell>
          <cell r="O35" t="str">
            <v>0</v>
          </cell>
          <cell r="P35" t="str">
            <v>false</v>
          </cell>
        </row>
        <row r="36">
          <cell r="A36" t="str">
            <v>Hand of Midas</v>
          </cell>
          <cell r="B36" t="str">
            <v>2200</v>
          </cell>
          <cell r="C36" t="str">
            <v>0</v>
          </cell>
          <cell r="D36" t="str">
            <v>0</v>
          </cell>
          <cell r="E36" t="str">
            <v>0</v>
          </cell>
          <cell r="F36" t="str">
            <v>40</v>
          </cell>
          <cell r="G36" t="str">
            <v>0</v>
          </cell>
          <cell r="H36" t="str">
            <v>0</v>
          </cell>
          <cell r="I36" t="str">
            <v>0</v>
          </cell>
          <cell r="J36" t="str">
            <v>0</v>
          </cell>
          <cell r="K36" t="str">
            <v>0</v>
          </cell>
          <cell r="L36" t="str">
            <v>0</v>
          </cell>
          <cell r="M36" t="str">
            <v>0</v>
          </cell>
          <cell r="N36" t="str">
            <v>1</v>
          </cell>
          <cell r="O36" t="str">
            <v>0</v>
          </cell>
          <cell r="P36" t="str">
            <v>false</v>
          </cell>
        </row>
        <row r="37">
          <cell r="A37" t="str">
            <v>Havoc Hammer</v>
          </cell>
          <cell r="B37" t="str">
            <v>0</v>
          </cell>
          <cell r="C37" t="str">
            <v>12</v>
          </cell>
          <cell r="D37" t="str">
            <v>0</v>
          </cell>
          <cell r="E37" t="str">
            <v>0</v>
          </cell>
          <cell r="F37" t="str">
            <v>0</v>
          </cell>
          <cell r="G37" t="str">
            <v>12</v>
          </cell>
          <cell r="H37" t="str">
            <v>0</v>
          </cell>
          <cell r="I37" t="str">
            <v>0</v>
          </cell>
          <cell r="J37" t="str">
            <v>0</v>
          </cell>
          <cell r="K37" t="str">
            <v>0</v>
          </cell>
          <cell r="L37" t="str">
            <v>0</v>
          </cell>
          <cell r="M37" t="str">
            <v>0</v>
          </cell>
          <cell r="N37" t="str">
            <v>1</v>
          </cell>
          <cell r="O37" t="str">
            <v>0</v>
          </cell>
          <cell r="P37" t="str">
            <v>true</v>
          </cell>
        </row>
        <row r="38">
          <cell r="A38" t="str">
            <v>Heart of Tarrasque</v>
          </cell>
          <cell r="B38" t="str">
            <v>5000</v>
          </cell>
          <cell r="C38" t="str">
            <v>0</v>
          </cell>
          <cell r="D38" t="str">
            <v>0</v>
          </cell>
          <cell r="E38" t="str">
            <v>0</v>
          </cell>
          <cell r="F38" t="str">
            <v>0</v>
          </cell>
          <cell r="G38" t="str">
            <v>45</v>
          </cell>
          <cell r="H38" t="str">
            <v>0</v>
          </cell>
          <cell r="I38" t="str">
            <v>0</v>
          </cell>
          <cell r="J38" t="str">
            <v>0</v>
          </cell>
          <cell r="K38" t="str">
            <v>0</v>
          </cell>
          <cell r="L38" t="str">
            <v>0</v>
          </cell>
          <cell r="M38" t="str">
            <v>0</v>
          </cell>
          <cell r="N38" t="str">
            <v>1</v>
          </cell>
          <cell r="O38" t="str">
            <v>0</v>
          </cell>
          <cell r="P38" t="str">
            <v>false</v>
          </cell>
        </row>
        <row r="39">
          <cell r="A39" t="str">
            <v>Heaven's Halberd</v>
          </cell>
          <cell r="B39" t="str">
            <v>3550</v>
          </cell>
          <cell r="C39" t="str">
            <v>0</v>
          </cell>
          <cell r="D39" t="str">
            <v>0</v>
          </cell>
          <cell r="E39" t="str">
            <v>0</v>
          </cell>
          <cell r="F39" t="str">
            <v>0</v>
          </cell>
          <cell r="G39" t="str">
            <v>20</v>
          </cell>
          <cell r="H39" t="str">
            <v>0</v>
          </cell>
          <cell r="I39" t="str">
            <v>0</v>
          </cell>
          <cell r="J39" t="str">
            <v>0</v>
          </cell>
          <cell r="K39" t="str">
            <v>0</v>
          </cell>
          <cell r="L39" t="str">
            <v>0</v>
          </cell>
          <cell r="M39" t="str">
            <v>0</v>
          </cell>
          <cell r="N39" t="str">
            <v>1</v>
          </cell>
          <cell r="O39" t="str">
            <v>0</v>
          </cell>
          <cell r="P39" t="str">
            <v>false</v>
          </cell>
        </row>
        <row r="40">
          <cell r="A40" t="str">
            <v>Hyperstone</v>
          </cell>
          <cell r="B40" t="str">
            <v>2000</v>
          </cell>
          <cell r="C40" t="str">
            <v>0</v>
          </cell>
          <cell r="D40" t="str">
            <v>0</v>
          </cell>
          <cell r="E40" t="str">
            <v>0</v>
          </cell>
          <cell r="F40" t="str">
            <v>60</v>
          </cell>
          <cell r="G40" t="str">
            <v>0</v>
          </cell>
          <cell r="H40" t="str">
            <v>0</v>
          </cell>
          <cell r="I40" t="str">
            <v>0</v>
          </cell>
          <cell r="J40" t="str">
            <v>0</v>
          </cell>
          <cell r="K40" t="str">
            <v>0</v>
          </cell>
          <cell r="L40" t="str">
            <v>0</v>
          </cell>
          <cell r="M40" t="str">
            <v>0</v>
          </cell>
          <cell r="N40" t="str">
            <v>1</v>
          </cell>
          <cell r="O40" t="str">
            <v>0</v>
          </cell>
          <cell r="P40" t="str">
            <v>false</v>
          </cell>
        </row>
        <row r="41">
          <cell r="A41" t="str">
            <v>Imp Claw</v>
          </cell>
          <cell r="B41" t="str">
            <v>0</v>
          </cell>
          <cell r="C41" t="str">
            <v>26</v>
          </cell>
          <cell r="D41" t="str">
            <v>0</v>
          </cell>
          <cell r="E41" t="str">
            <v>0</v>
          </cell>
          <cell r="F41" t="str">
            <v>0</v>
          </cell>
          <cell r="G41" t="str">
            <v>0</v>
          </cell>
          <cell r="H41" t="str">
            <v>0</v>
          </cell>
          <cell r="I41" t="str">
            <v>0</v>
          </cell>
          <cell r="J41" t="str">
            <v>0</v>
          </cell>
          <cell r="K41" t="str">
            <v>0</v>
          </cell>
          <cell r="L41" t="str">
            <v>0</v>
          </cell>
          <cell r="M41" t="str">
            <v>0</v>
          </cell>
          <cell r="N41" t="str">
            <v>1.3</v>
          </cell>
          <cell r="O41" t="str">
            <v>0</v>
          </cell>
          <cell r="P41" t="str">
            <v>true</v>
          </cell>
        </row>
        <row r="42">
          <cell r="A42" t="str">
            <v>Shadow Blade</v>
          </cell>
          <cell r="B42" t="str">
            <v>3000</v>
          </cell>
          <cell r="C42" t="str">
            <v>20</v>
          </cell>
          <cell r="D42" t="str">
            <v>0</v>
          </cell>
          <cell r="E42" t="str">
            <v>0</v>
          </cell>
          <cell r="F42" t="str">
            <v>35</v>
          </cell>
          <cell r="G42" t="str">
            <v>0</v>
          </cell>
          <cell r="H42" t="str">
            <v>0</v>
          </cell>
          <cell r="I42" t="str">
            <v>0</v>
          </cell>
          <cell r="J42" t="str">
            <v>0</v>
          </cell>
          <cell r="K42" t="str">
            <v>0</v>
          </cell>
          <cell r="L42" t="str">
            <v>0</v>
          </cell>
          <cell r="M42" t="str">
            <v>0</v>
          </cell>
          <cell r="N42" t="str">
            <v>1</v>
          </cell>
          <cell r="O42" t="str">
            <v>0</v>
          </cell>
          <cell r="P42" t="str">
            <v>false</v>
          </cell>
        </row>
        <row r="43">
          <cell r="A43" t="str">
            <v>Iron Talon</v>
          </cell>
          <cell r="B43" t="str">
            <v>301</v>
          </cell>
          <cell r="C43" t="str">
            <v>0</v>
          </cell>
          <cell r="D43" t="str">
            <v>0</v>
          </cell>
          <cell r="E43" t="str">
            <v>0</v>
          </cell>
          <cell r="F43" t="str">
            <v>15</v>
          </cell>
          <cell r="G43" t="str">
            <v>0</v>
          </cell>
          <cell r="H43" t="str">
            <v>0</v>
          </cell>
          <cell r="I43" t="str">
            <v>0</v>
          </cell>
          <cell r="J43" t="str">
            <v>0</v>
          </cell>
          <cell r="K43" t="str">
            <v>0</v>
          </cell>
          <cell r="L43" t="str">
            <v>0</v>
          </cell>
          <cell r="M43" t="str">
            <v>0</v>
          </cell>
          <cell r="N43" t="str">
            <v>1</v>
          </cell>
          <cell r="O43" t="str">
            <v>0</v>
          </cell>
          <cell r="P43" t="str">
            <v>true</v>
          </cell>
        </row>
        <row r="44">
          <cell r="A44" t="str">
            <v>Ironwood Tree</v>
          </cell>
          <cell r="B44" t="str">
            <v>151</v>
          </cell>
          <cell r="C44" t="str">
            <v>0</v>
          </cell>
          <cell r="D44" t="str">
            <v>0</v>
          </cell>
          <cell r="E44" t="str">
            <v>0</v>
          </cell>
          <cell r="F44" t="str">
            <v>0</v>
          </cell>
          <cell r="G44" t="str">
            <v>6</v>
          </cell>
          <cell r="H44" t="str">
            <v>6</v>
          </cell>
          <cell r="I44" t="str">
            <v>6</v>
          </cell>
          <cell r="J44" t="str">
            <v>0</v>
          </cell>
          <cell r="K44" t="str">
            <v>0</v>
          </cell>
          <cell r="L44" t="str">
            <v>0</v>
          </cell>
          <cell r="M44" t="str">
            <v>0</v>
          </cell>
          <cell r="N44" t="str">
            <v>1</v>
          </cell>
          <cell r="O44" t="str">
            <v>0</v>
          </cell>
          <cell r="P44" t="str">
            <v>true</v>
          </cell>
        </row>
        <row r="45">
          <cell r="A45" t="str">
            <v>Javelin</v>
          </cell>
          <cell r="B45" t="str">
            <v>1100</v>
          </cell>
          <cell r="C45" t="str">
            <v>0</v>
          </cell>
          <cell r="D45" t="str">
            <v>0</v>
          </cell>
          <cell r="E45" t="str">
            <v>0</v>
          </cell>
          <cell r="F45" t="str">
            <v>0</v>
          </cell>
          <cell r="G45" t="str">
            <v>0</v>
          </cell>
          <cell r="H45" t="str">
            <v>0</v>
          </cell>
          <cell r="I45" t="str">
            <v>0</v>
          </cell>
          <cell r="J45" t="str">
            <v>0</v>
          </cell>
          <cell r="K45" t="str">
            <v>70</v>
          </cell>
          <cell r="L45" t="str">
            <v>0.3</v>
          </cell>
          <cell r="M45" t="str">
            <v>0.3</v>
          </cell>
          <cell r="N45" t="str">
            <v>1</v>
          </cell>
          <cell r="O45" t="str">
            <v>0</v>
          </cell>
          <cell r="P45" t="str">
            <v>false</v>
          </cell>
        </row>
        <row r="46">
          <cell r="A46" t="str">
            <v>Crystalys</v>
          </cell>
          <cell r="B46" t="str">
            <v>1950</v>
          </cell>
          <cell r="C46" t="str">
            <v>32</v>
          </cell>
          <cell r="D46" t="str">
            <v>0</v>
          </cell>
          <cell r="E46" t="str">
            <v>0</v>
          </cell>
          <cell r="F46" t="str">
            <v>0</v>
          </cell>
          <cell r="G46" t="str">
            <v>0</v>
          </cell>
          <cell r="H46" t="str">
            <v>0</v>
          </cell>
          <cell r="I46" t="str">
            <v>0</v>
          </cell>
          <cell r="J46" t="str">
            <v>0</v>
          </cell>
          <cell r="K46" t="str">
            <v>0</v>
          </cell>
          <cell r="L46" t="str">
            <v>0</v>
          </cell>
          <cell r="M46" t="str">
            <v>0</v>
          </cell>
          <cell r="N46" t="str">
            <v>1.6</v>
          </cell>
          <cell r="O46" t="str">
            <v>0.3</v>
          </cell>
          <cell r="P46" t="str">
            <v>false</v>
          </cell>
        </row>
        <row r="47">
          <cell r="A47" t="str">
            <v>Maelstrom</v>
          </cell>
          <cell r="B47" t="str">
            <v>2700</v>
          </cell>
          <cell r="C47" t="str">
            <v>24</v>
          </cell>
          <cell r="D47" t="str">
            <v>0</v>
          </cell>
          <cell r="E47" t="str">
            <v>0</v>
          </cell>
          <cell r="F47" t="str">
            <v>0</v>
          </cell>
          <cell r="G47" t="str">
            <v>0</v>
          </cell>
          <cell r="H47" t="str">
            <v>0</v>
          </cell>
          <cell r="I47" t="str">
            <v>0</v>
          </cell>
          <cell r="J47" t="str">
            <v>0</v>
          </cell>
          <cell r="K47" t="str">
            <v>140</v>
          </cell>
          <cell r="L47" t="str">
            <v>0.3</v>
          </cell>
          <cell r="M47" t="str">
            <v>0.3</v>
          </cell>
          <cell r="N47" t="str">
            <v>1</v>
          </cell>
          <cell r="O47" t="str">
            <v>0</v>
          </cell>
          <cell r="P47" t="str">
            <v>false</v>
          </cell>
        </row>
        <row r="48">
          <cell r="A48" t="str">
            <v>Magic Wand</v>
          </cell>
          <cell r="B48" t="str">
            <v>450</v>
          </cell>
          <cell r="C48" t="str">
            <v>0</v>
          </cell>
          <cell r="D48" t="str">
            <v>0</v>
          </cell>
          <cell r="E48" t="str">
            <v>0</v>
          </cell>
          <cell r="F48" t="str">
            <v>0</v>
          </cell>
          <cell r="G48" t="str">
            <v>3</v>
          </cell>
          <cell r="H48" t="str">
            <v>3</v>
          </cell>
          <cell r="I48" t="str">
            <v>3</v>
          </cell>
          <cell r="J48" t="str">
            <v>0</v>
          </cell>
          <cell r="K48" t="str">
            <v>0</v>
          </cell>
          <cell r="L48" t="str">
            <v>0</v>
          </cell>
          <cell r="M48" t="str">
            <v>0</v>
          </cell>
          <cell r="N48" t="str">
            <v>1</v>
          </cell>
          <cell r="O48" t="str">
            <v>0</v>
          </cell>
          <cell r="P48" t="str">
            <v>false</v>
          </cell>
        </row>
        <row r="49">
          <cell r="A49" t="str">
            <v>Manta Style</v>
          </cell>
          <cell r="B49" t="str">
            <v>4600</v>
          </cell>
          <cell r="C49" t="str">
            <v>0</v>
          </cell>
          <cell r="D49" t="str">
            <v>0</v>
          </cell>
          <cell r="E49" t="str">
            <v>0</v>
          </cell>
          <cell r="F49" t="str">
            <v>12</v>
          </cell>
          <cell r="G49" t="str">
            <v>10</v>
          </cell>
          <cell r="H49" t="str">
            <v>26</v>
          </cell>
          <cell r="I49" t="str">
            <v>10</v>
          </cell>
          <cell r="J49" t="str">
            <v>0</v>
          </cell>
          <cell r="K49" t="str">
            <v>0</v>
          </cell>
          <cell r="L49" t="str">
            <v>0</v>
          </cell>
          <cell r="M49" t="str">
            <v>0</v>
          </cell>
          <cell r="N49" t="str">
            <v>1</v>
          </cell>
          <cell r="O49" t="str">
            <v>0</v>
          </cell>
          <cell r="P49" t="str">
            <v>false</v>
          </cell>
        </row>
        <row r="50">
          <cell r="A50" t="str">
            <v>Mantle of Intelligence</v>
          </cell>
          <cell r="B50" t="str">
            <v>140</v>
          </cell>
          <cell r="C50" t="str">
            <v>0</v>
          </cell>
          <cell r="D50" t="str">
            <v>0</v>
          </cell>
          <cell r="E50" t="str">
            <v>0</v>
          </cell>
          <cell r="F50" t="str">
            <v>0</v>
          </cell>
          <cell r="G50" t="str">
            <v>0</v>
          </cell>
          <cell r="H50" t="str">
            <v>0</v>
          </cell>
          <cell r="I50" t="str">
            <v>3</v>
          </cell>
          <cell r="J50" t="str">
            <v>0</v>
          </cell>
          <cell r="K50" t="str">
            <v>0</v>
          </cell>
          <cell r="L50" t="str">
            <v>0</v>
          </cell>
          <cell r="M50" t="str">
            <v>0</v>
          </cell>
          <cell r="N50" t="str">
            <v>1</v>
          </cell>
          <cell r="O50" t="str">
            <v>0</v>
          </cell>
          <cell r="P50" t="str">
            <v>false</v>
          </cell>
        </row>
        <row r="51">
          <cell r="A51" t="str">
            <v>Mask of Madness</v>
          </cell>
          <cell r="B51" t="str">
            <v>1775</v>
          </cell>
          <cell r="C51" t="str">
            <v>10</v>
          </cell>
          <cell r="D51" t="str">
            <v>0</v>
          </cell>
          <cell r="E51" t="str">
            <v>0</v>
          </cell>
          <cell r="F51" t="str">
            <v>10</v>
          </cell>
          <cell r="G51" t="str">
            <v>0</v>
          </cell>
          <cell r="H51" t="str">
            <v>0</v>
          </cell>
          <cell r="I51" t="str">
            <v>0</v>
          </cell>
          <cell r="J51" t="str">
            <v>0</v>
          </cell>
          <cell r="K51" t="str">
            <v>0</v>
          </cell>
          <cell r="L51" t="str">
            <v>0</v>
          </cell>
          <cell r="M51" t="str">
            <v>0</v>
          </cell>
          <cell r="N51" t="str">
            <v>1</v>
          </cell>
          <cell r="O51" t="str">
            <v>0</v>
          </cell>
          <cell r="P51" t="str">
            <v>false</v>
          </cell>
        </row>
        <row r="52">
          <cell r="A52" t="str">
            <v>Minotaur Horn</v>
          </cell>
          <cell r="B52" t="str">
            <v>0</v>
          </cell>
          <cell r="C52" t="str">
            <v>0</v>
          </cell>
          <cell r="D52" t="str">
            <v>0</v>
          </cell>
          <cell r="E52" t="str">
            <v>0</v>
          </cell>
          <cell r="F52" t="str">
            <v>0</v>
          </cell>
          <cell r="G52" t="str">
            <v>20</v>
          </cell>
          <cell r="H52" t="str">
            <v>0</v>
          </cell>
          <cell r="I52" t="str">
            <v>0</v>
          </cell>
          <cell r="J52" t="str">
            <v>0</v>
          </cell>
          <cell r="K52" t="str">
            <v>0</v>
          </cell>
          <cell r="L52" t="str">
            <v>0</v>
          </cell>
          <cell r="M52" t="str">
            <v>0</v>
          </cell>
          <cell r="N52" t="str">
            <v>1</v>
          </cell>
          <cell r="O52" t="str">
            <v>0</v>
          </cell>
          <cell r="P52" t="str">
            <v>true</v>
          </cell>
        </row>
        <row r="53">
          <cell r="A53" t="str">
            <v>Mithril Hammer</v>
          </cell>
          <cell r="B53" t="str">
            <v>1600</v>
          </cell>
          <cell r="C53" t="str">
            <v>24</v>
          </cell>
          <cell r="D53" t="str">
            <v>0</v>
          </cell>
          <cell r="E53" t="str">
            <v>0</v>
          </cell>
          <cell r="F53" t="str">
            <v>0</v>
          </cell>
          <cell r="G53" t="str">
            <v>0</v>
          </cell>
          <cell r="H53" t="str">
            <v>0</v>
          </cell>
          <cell r="I53" t="str">
            <v>0</v>
          </cell>
          <cell r="J53" t="str">
            <v>0</v>
          </cell>
          <cell r="K53" t="str">
            <v>0</v>
          </cell>
          <cell r="L53" t="str">
            <v>0</v>
          </cell>
          <cell r="M53" t="str">
            <v>0</v>
          </cell>
          <cell r="N53" t="str">
            <v>1</v>
          </cell>
          <cell r="O53" t="str">
            <v>0</v>
          </cell>
          <cell r="P53" t="str">
            <v>false</v>
          </cell>
        </row>
        <row r="54">
          <cell r="A54" t="str">
            <v>Mjollnir</v>
          </cell>
          <cell r="B54" t="str">
            <v>5600</v>
          </cell>
          <cell r="C54" t="str">
            <v>24</v>
          </cell>
          <cell r="D54" t="str">
            <v>0</v>
          </cell>
          <cell r="E54" t="str">
            <v>0</v>
          </cell>
          <cell r="F54" t="str">
            <v>70</v>
          </cell>
          <cell r="G54" t="str">
            <v>0</v>
          </cell>
          <cell r="H54" t="str">
            <v>0</v>
          </cell>
          <cell r="I54" t="str">
            <v>0</v>
          </cell>
          <cell r="J54" t="str">
            <v>0</v>
          </cell>
          <cell r="K54" t="str">
            <v>180</v>
          </cell>
          <cell r="L54" t="str">
            <v>0.3</v>
          </cell>
          <cell r="M54" t="str">
            <v>0.3</v>
          </cell>
          <cell r="N54" t="str">
            <v>1</v>
          </cell>
          <cell r="O54" t="str">
            <v>0</v>
          </cell>
          <cell r="P54" t="str">
            <v>false</v>
          </cell>
        </row>
        <row r="55">
          <cell r="A55" t="str">
            <v>Monkey King Bar</v>
          </cell>
          <cell r="B55" t="str">
            <v>4975</v>
          </cell>
          <cell r="C55" t="str">
            <v>40</v>
          </cell>
          <cell r="D55" t="str">
            <v>0</v>
          </cell>
          <cell r="E55" t="str">
            <v>0</v>
          </cell>
          <cell r="F55" t="str">
            <v>45</v>
          </cell>
          <cell r="G55" t="str">
            <v>0</v>
          </cell>
          <cell r="H55" t="str">
            <v>0</v>
          </cell>
          <cell r="I55" t="str">
            <v>0</v>
          </cell>
          <cell r="J55" t="str">
            <v>0</v>
          </cell>
          <cell r="K55" t="str">
            <v>70</v>
          </cell>
          <cell r="L55" t="str">
            <v>0.8</v>
          </cell>
          <cell r="M55" t="str">
            <v>0.8</v>
          </cell>
          <cell r="N55" t="str">
            <v>1</v>
          </cell>
          <cell r="O55" t="str">
            <v>0</v>
          </cell>
          <cell r="P55" t="str">
            <v>false</v>
          </cell>
        </row>
        <row r="56">
          <cell r="A56" t="str">
            <v>Moon Shard</v>
          </cell>
          <cell r="B56" t="str">
            <v>4000</v>
          </cell>
          <cell r="C56" t="str">
            <v>0</v>
          </cell>
          <cell r="D56" t="str">
            <v>0</v>
          </cell>
          <cell r="E56" t="str">
            <v>0</v>
          </cell>
          <cell r="F56" t="str">
            <v>140</v>
          </cell>
          <cell r="G56" t="str">
            <v>0</v>
          </cell>
          <cell r="H56" t="str">
            <v>0</v>
          </cell>
          <cell r="I56" t="str">
            <v>0</v>
          </cell>
          <cell r="J56" t="str">
            <v>0</v>
          </cell>
          <cell r="K56" t="str">
            <v>0</v>
          </cell>
          <cell r="L56" t="str">
            <v>0</v>
          </cell>
          <cell r="M56" t="str">
            <v>0</v>
          </cell>
          <cell r="N56" t="str">
            <v>1</v>
          </cell>
          <cell r="O56" t="str">
            <v>0</v>
          </cell>
          <cell r="P56" t="str">
            <v>false</v>
          </cell>
        </row>
        <row r="57">
          <cell r="A57" t="str">
            <v>Mystic Staff</v>
          </cell>
          <cell r="B57" t="str">
            <v>2800</v>
          </cell>
          <cell r="C57" t="str">
            <v>0</v>
          </cell>
          <cell r="D57" t="str">
            <v>0</v>
          </cell>
          <cell r="E57" t="str">
            <v>0</v>
          </cell>
          <cell r="F57" t="str">
            <v>0</v>
          </cell>
          <cell r="G57" t="str">
            <v>0</v>
          </cell>
          <cell r="H57" t="str">
            <v>0</v>
          </cell>
          <cell r="I57" t="str">
            <v>25</v>
          </cell>
          <cell r="J57" t="str">
            <v>0</v>
          </cell>
          <cell r="K57" t="str">
            <v>0</v>
          </cell>
          <cell r="L57" t="str">
            <v>0</v>
          </cell>
          <cell r="M57" t="str">
            <v>0</v>
          </cell>
          <cell r="N57" t="str">
            <v>1</v>
          </cell>
          <cell r="O57" t="str">
            <v>0</v>
          </cell>
          <cell r="P57" t="str">
            <v>false</v>
          </cell>
        </row>
        <row r="58">
          <cell r="A58" t="str">
            <v>Nullifier</v>
          </cell>
          <cell r="B58" t="str">
            <v>4725</v>
          </cell>
          <cell r="C58" t="str">
            <v>80</v>
          </cell>
          <cell r="D58" t="str">
            <v>0</v>
          </cell>
          <cell r="E58" t="str">
            <v>0</v>
          </cell>
          <cell r="F58" t="str">
            <v>0</v>
          </cell>
          <cell r="G58" t="str">
            <v>0</v>
          </cell>
          <cell r="H58" t="str">
            <v>0</v>
          </cell>
          <cell r="I58" t="str">
            <v>0</v>
          </cell>
          <cell r="J58" t="str">
            <v>0</v>
          </cell>
          <cell r="K58" t="str">
            <v>0</v>
          </cell>
          <cell r="L58" t="str">
            <v>0</v>
          </cell>
          <cell r="M58" t="str">
            <v>0</v>
          </cell>
          <cell r="N58" t="str">
            <v>1</v>
          </cell>
          <cell r="O58" t="str">
            <v>0</v>
          </cell>
          <cell r="P58" t="str">
            <v>false</v>
          </cell>
        </row>
        <row r="59">
          <cell r="A59" t="str">
            <v>Oblivion Staff</v>
          </cell>
          <cell r="B59" t="str">
            <v>1500</v>
          </cell>
          <cell r="C59" t="str">
            <v>15</v>
          </cell>
          <cell r="D59" t="str">
            <v>0</v>
          </cell>
          <cell r="E59" t="str">
            <v>0</v>
          </cell>
          <cell r="F59" t="str">
            <v>10</v>
          </cell>
          <cell r="G59" t="str">
            <v>0</v>
          </cell>
          <cell r="H59" t="str">
            <v>0</v>
          </cell>
          <cell r="I59" t="str">
            <v>10</v>
          </cell>
          <cell r="J59" t="str">
            <v>0</v>
          </cell>
          <cell r="K59" t="str">
            <v>0</v>
          </cell>
          <cell r="L59" t="str">
            <v>0</v>
          </cell>
          <cell r="M59" t="str">
            <v>0</v>
          </cell>
          <cell r="N59" t="str">
            <v>1</v>
          </cell>
          <cell r="O59" t="str">
            <v>0</v>
          </cell>
          <cell r="P59" t="str">
            <v>false</v>
          </cell>
        </row>
        <row r="60">
          <cell r="A60" t="str">
            <v>Ogre Axe</v>
          </cell>
          <cell r="B60" t="str">
            <v>1000</v>
          </cell>
          <cell r="C60" t="str">
            <v>0</v>
          </cell>
          <cell r="D60" t="str">
            <v>0</v>
          </cell>
          <cell r="E60" t="str">
            <v>0</v>
          </cell>
          <cell r="F60" t="str">
            <v>0</v>
          </cell>
          <cell r="G60" t="str">
            <v>10</v>
          </cell>
          <cell r="H60" t="str">
            <v>0</v>
          </cell>
          <cell r="I60" t="str">
            <v>0</v>
          </cell>
          <cell r="J60" t="str">
            <v>0</v>
          </cell>
          <cell r="K60" t="str">
            <v>0</v>
          </cell>
          <cell r="L60" t="str">
            <v>0</v>
          </cell>
          <cell r="M60" t="str">
            <v>0</v>
          </cell>
          <cell r="N60" t="str">
            <v>1</v>
          </cell>
          <cell r="O60" t="str">
            <v>0</v>
          </cell>
          <cell r="P60" t="str">
            <v>false</v>
          </cell>
        </row>
        <row r="61">
          <cell r="A61" t="str">
            <v>Orb of Corrosion</v>
          </cell>
          <cell r="B61" t="str">
            <v>925</v>
          </cell>
          <cell r="C61" t="str">
            <v>0</v>
          </cell>
          <cell r="D61" t="str">
            <v>0</v>
          </cell>
          <cell r="E61" t="str">
            <v>0</v>
          </cell>
          <cell r="F61" t="str">
            <v>0</v>
          </cell>
          <cell r="G61" t="str">
            <v>0</v>
          </cell>
          <cell r="H61" t="str">
            <v>0</v>
          </cell>
          <cell r="I61" t="str">
            <v>0</v>
          </cell>
          <cell r="J61" t="str">
            <v>-3</v>
          </cell>
          <cell r="K61" t="str">
            <v>0</v>
          </cell>
          <cell r="L61" t="str">
            <v>0</v>
          </cell>
          <cell r="M61" t="str">
            <v>0</v>
          </cell>
          <cell r="N61" t="str">
            <v>1</v>
          </cell>
          <cell r="O61" t="str">
            <v>0</v>
          </cell>
          <cell r="P61" t="str">
            <v>false</v>
          </cell>
        </row>
        <row r="62">
          <cell r="A62" t="str">
            <v>Overwhelming Blink</v>
          </cell>
          <cell r="B62" t="str">
            <v>6800</v>
          </cell>
          <cell r="C62" t="str">
            <v>0</v>
          </cell>
          <cell r="D62" t="str">
            <v>0</v>
          </cell>
          <cell r="E62" t="str">
            <v>0</v>
          </cell>
          <cell r="F62" t="str">
            <v>0</v>
          </cell>
          <cell r="G62" t="str">
            <v>25</v>
          </cell>
          <cell r="H62" t="str">
            <v>0</v>
          </cell>
          <cell r="I62" t="str">
            <v>0</v>
          </cell>
          <cell r="J62" t="str">
            <v>0</v>
          </cell>
          <cell r="K62" t="str">
            <v>0</v>
          </cell>
          <cell r="L62" t="str">
            <v>0</v>
          </cell>
          <cell r="M62" t="str">
            <v>0</v>
          </cell>
          <cell r="N62" t="str">
            <v>1</v>
          </cell>
          <cell r="O62" t="str">
            <v>0</v>
          </cell>
          <cell r="P62" t="str">
            <v>false</v>
          </cell>
        </row>
        <row r="63">
          <cell r="A63" t="str">
            <v>Phase Boots</v>
          </cell>
          <cell r="B63" t="str">
            <v>1500</v>
          </cell>
          <cell r="C63" t="str">
            <v>0</v>
          </cell>
          <cell r="D63" t="str">
            <v>18</v>
          </cell>
          <cell r="E63" t="str">
            <v>12</v>
          </cell>
          <cell r="F63" t="str">
            <v>0</v>
          </cell>
          <cell r="G63" t="str">
            <v>0</v>
          </cell>
          <cell r="H63" t="str">
            <v>0</v>
          </cell>
          <cell r="I63" t="str">
            <v>0</v>
          </cell>
          <cell r="J63" t="str">
            <v>0</v>
          </cell>
          <cell r="K63" t="str">
            <v>0</v>
          </cell>
          <cell r="L63" t="str">
            <v>0</v>
          </cell>
          <cell r="M63" t="str">
            <v>0</v>
          </cell>
          <cell r="N63" t="str">
            <v>1</v>
          </cell>
          <cell r="O63" t="str">
            <v>0</v>
          </cell>
          <cell r="P63" t="str">
            <v>false</v>
          </cell>
        </row>
        <row r="64">
          <cell r="A64" t="str">
            <v>Philosopher's Stone</v>
          </cell>
          <cell r="B64" t="str">
            <v>0</v>
          </cell>
          <cell r="C64" t="str">
            <v>-30</v>
          </cell>
          <cell r="D64" t="str">
            <v>0</v>
          </cell>
          <cell r="E64" t="str">
            <v>0</v>
          </cell>
          <cell r="F64" t="str">
            <v>0</v>
          </cell>
          <cell r="G64" t="str">
            <v>0</v>
          </cell>
          <cell r="H64" t="str">
            <v>0</v>
          </cell>
          <cell r="I64" t="str">
            <v>0</v>
          </cell>
          <cell r="J64" t="str">
            <v>0</v>
          </cell>
          <cell r="K64" t="str">
            <v>0</v>
          </cell>
          <cell r="L64" t="str">
            <v>0</v>
          </cell>
          <cell r="M64" t="str">
            <v>0</v>
          </cell>
          <cell r="N64" t="str">
            <v>1</v>
          </cell>
          <cell r="O64" t="str">
            <v>0</v>
          </cell>
          <cell r="P64" t="str">
            <v>true</v>
          </cell>
        </row>
        <row r="65">
          <cell r="A65" t="str">
            <v>Poor Man's Shield</v>
          </cell>
          <cell r="B65" t="str">
            <v>0</v>
          </cell>
          <cell r="C65" t="str">
            <v>0</v>
          </cell>
          <cell r="D65" t="str">
            <v>0</v>
          </cell>
          <cell r="E65" t="str">
            <v>0</v>
          </cell>
          <cell r="F65" t="str">
            <v>0</v>
          </cell>
          <cell r="G65" t="str">
            <v>0</v>
          </cell>
          <cell r="H65" t="str">
            <v>8</v>
          </cell>
          <cell r="I65" t="str">
            <v>0</v>
          </cell>
          <cell r="J65" t="str">
            <v>0</v>
          </cell>
          <cell r="K65" t="str">
            <v>0</v>
          </cell>
          <cell r="L65" t="str">
            <v>0</v>
          </cell>
          <cell r="M65" t="str">
            <v>0</v>
          </cell>
          <cell r="N65" t="str">
            <v>1</v>
          </cell>
          <cell r="O65" t="str">
            <v>0</v>
          </cell>
          <cell r="P65" t="str">
            <v>true</v>
          </cell>
        </row>
        <row r="66">
          <cell r="A66" t="str">
            <v>Power Treads</v>
          </cell>
          <cell r="B66" t="str">
            <v>1400</v>
          </cell>
          <cell r="C66" t="str">
            <v>0</v>
          </cell>
          <cell r="D66" t="str">
            <v>0</v>
          </cell>
          <cell r="E66" t="str">
            <v>0</v>
          </cell>
          <cell r="F66" t="str">
            <v>25</v>
          </cell>
          <cell r="G66" t="str">
            <v>0</v>
          </cell>
          <cell r="H66" t="str">
            <v>0</v>
          </cell>
          <cell r="I66" t="str">
            <v>0</v>
          </cell>
          <cell r="J66" t="str">
            <v>0</v>
          </cell>
          <cell r="K66" t="str">
            <v>0</v>
          </cell>
          <cell r="L66" t="str">
            <v>0</v>
          </cell>
          <cell r="M66" t="str">
            <v>0</v>
          </cell>
          <cell r="N66" t="str">
            <v>1</v>
          </cell>
          <cell r="O66" t="str">
            <v>0</v>
          </cell>
          <cell r="P66" t="str">
            <v>false</v>
          </cell>
        </row>
        <row r="67">
          <cell r="A67" t="str">
            <v>Quarterstaff</v>
          </cell>
          <cell r="B67" t="str">
            <v>875</v>
          </cell>
          <cell r="C67" t="str">
            <v>10</v>
          </cell>
          <cell r="D67" t="str">
            <v>0</v>
          </cell>
          <cell r="E67" t="str">
            <v>0</v>
          </cell>
          <cell r="F67" t="str">
            <v>0</v>
          </cell>
          <cell r="G67" t="str">
            <v>0</v>
          </cell>
          <cell r="H67" t="str">
            <v>0</v>
          </cell>
          <cell r="I67" t="str">
            <v>0</v>
          </cell>
          <cell r="J67" t="str">
            <v>0</v>
          </cell>
          <cell r="K67" t="str">
            <v>0</v>
          </cell>
          <cell r="L67" t="str">
            <v>0</v>
          </cell>
          <cell r="M67" t="str">
            <v>0</v>
          </cell>
          <cell r="N67" t="str">
            <v>1</v>
          </cell>
          <cell r="O67" t="str">
            <v>0</v>
          </cell>
          <cell r="P67" t="str">
            <v>false</v>
          </cell>
        </row>
        <row r="68">
          <cell r="A68" t="str">
            <v>Divine Rapier</v>
          </cell>
          <cell r="B68" t="str">
            <v>5950</v>
          </cell>
          <cell r="C68" t="str">
            <v>350</v>
          </cell>
          <cell r="D68" t="str">
            <v>0</v>
          </cell>
          <cell r="E68" t="str">
            <v>0</v>
          </cell>
          <cell r="F68" t="str">
            <v>0</v>
          </cell>
          <cell r="G68" t="str">
            <v>0</v>
          </cell>
          <cell r="H68" t="str">
            <v>0</v>
          </cell>
          <cell r="I68" t="str">
            <v>0</v>
          </cell>
          <cell r="J68" t="str">
            <v>0</v>
          </cell>
          <cell r="K68" t="str">
            <v>0</v>
          </cell>
          <cell r="L68" t="str">
            <v>0</v>
          </cell>
          <cell r="M68" t="str">
            <v>0</v>
          </cell>
          <cell r="N68" t="str">
            <v>1</v>
          </cell>
          <cell r="O68" t="str">
            <v>0</v>
          </cell>
          <cell r="P68" t="str">
            <v>false</v>
          </cell>
        </row>
        <row r="69">
          <cell r="A69" t="str">
            <v>Reaver</v>
          </cell>
          <cell r="B69" t="str">
            <v>2800</v>
          </cell>
          <cell r="C69" t="str">
            <v>0</v>
          </cell>
          <cell r="D69" t="str">
            <v>0</v>
          </cell>
          <cell r="E69" t="str">
            <v>0</v>
          </cell>
          <cell r="F69" t="str">
            <v>0</v>
          </cell>
          <cell r="G69" t="str">
            <v>25</v>
          </cell>
          <cell r="H69" t="str">
            <v>0</v>
          </cell>
          <cell r="I69" t="str">
            <v>0</v>
          </cell>
          <cell r="J69" t="str">
            <v>0</v>
          </cell>
          <cell r="K69" t="str">
            <v>0</v>
          </cell>
          <cell r="L69" t="str">
            <v>0</v>
          </cell>
          <cell r="M69" t="str">
            <v>0</v>
          </cell>
          <cell r="N69" t="str">
            <v>1</v>
          </cell>
          <cell r="O69" t="str">
            <v>0</v>
          </cell>
          <cell r="P69" t="str">
            <v>false</v>
          </cell>
        </row>
        <row r="70">
          <cell r="A70" t="str">
            <v>Sacred Relic</v>
          </cell>
          <cell r="B70" t="str">
            <v>3750</v>
          </cell>
          <cell r="C70" t="str">
            <v>60</v>
          </cell>
          <cell r="D70" t="str">
            <v>0</v>
          </cell>
          <cell r="E70" t="str">
            <v>0</v>
          </cell>
          <cell r="F70" t="str">
            <v>0</v>
          </cell>
          <cell r="G70" t="str">
            <v>0</v>
          </cell>
          <cell r="H70" t="str">
            <v>0</v>
          </cell>
          <cell r="I70" t="str">
            <v>0</v>
          </cell>
          <cell r="J70" t="str">
            <v>0</v>
          </cell>
          <cell r="K70" t="str">
            <v>0</v>
          </cell>
          <cell r="L70" t="str">
            <v>0</v>
          </cell>
          <cell r="M70" t="str">
            <v>0</v>
          </cell>
          <cell r="N70" t="str">
            <v>1</v>
          </cell>
          <cell r="O70" t="str">
            <v>0</v>
          </cell>
          <cell r="P70" t="str">
            <v>false</v>
          </cell>
        </row>
        <row r="71">
          <cell r="A71" t="str">
            <v>Robe of the Magi</v>
          </cell>
          <cell r="B71" t="str">
            <v>450</v>
          </cell>
          <cell r="C71" t="str">
            <v>0</v>
          </cell>
          <cell r="D71" t="str">
            <v>0</v>
          </cell>
          <cell r="E71" t="str">
            <v>0</v>
          </cell>
          <cell r="F71" t="str">
            <v>0</v>
          </cell>
          <cell r="G71" t="str">
            <v>0</v>
          </cell>
          <cell r="H71" t="str">
            <v>0</v>
          </cell>
          <cell r="I71" t="str">
            <v>6</v>
          </cell>
          <cell r="J71" t="str">
            <v>0</v>
          </cell>
          <cell r="K71" t="str">
            <v>0</v>
          </cell>
          <cell r="L71" t="str">
            <v>0</v>
          </cell>
          <cell r="M71" t="str">
            <v>0</v>
          </cell>
          <cell r="N71" t="str">
            <v>1</v>
          </cell>
          <cell r="O71" t="str">
            <v>0</v>
          </cell>
          <cell r="P71" t="str">
            <v>false</v>
          </cell>
        </row>
        <row r="72">
          <cell r="A72" t="str">
            <v>Rod of Atos</v>
          </cell>
          <cell r="B72" t="str">
            <v>2750</v>
          </cell>
          <cell r="C72" t="str">
            <v>0</v>
          </cell>
          <cell r="D72" t="str">
            <v>0</v>
          </cell>
          <cell r="E72" t="str">
            <v>0</v>
          </cell>
          <cell r="F72" t="str">
            <v>0</v>
          </cell>
          <cell r="G72" t="str">
            <v>12</v>
          </cell>
          <cell r="H72" t="str">
            <v>12</v>
          </cell>
          <cell r="I72" t="str">
            <v>24</v>
          </cell>
          <cell r="J72" t="str">
            <v>0</v>
          </cell>
          <cell r="K72" t="str">
            <v>0</v>
          </cell>
          <cell r="L72" t="str">
            <v>0</v>
          </cell>
          <cell r="M72" t="str">
            <v>0</v>
          </cell>
          <cell r="N72" t="str">
            <v>1</v>
          </cell>
          <cell r="O72" t="str">
            <v>0</v>
          </cell>
          <cell r="P72" t="str">
            <v>false</v>
          </cell>
        </row>
        <row r="73">
          <cell r="A73" t="str">
            <v>Sange</v>
          </cell>
          <cell r="B73" t="str">
            <v>2050</v>
          </cell>
          <cell r="C73" t="str">
            <v>0</v>
          </cell>
          <cell r="D73" t="str">
            <v>0</v>
          </cell>
          <cell r="E73" t="str">
            <v>0</v>
          </cell>
          <cell r="F73" t="str">
            <v>0</v>
          </cell>
          <cell r="G73" t="str">
            <v>16</v>
          </cell>
          <cell r="H73" t="str">
            <v>0</v>
          </cell>
          <cell r="I73" t="str">
            <v>0</v>
          </cell>
          <cell r="J73" t="str">
            <v>0</v>
          </cell>
          <cell r="K73" t="str">
            <v>0</v>
          </cell>
          <cell r="L73" t="str">
            <v>0</v>
          </cell>
          <cell r="M73" t="str">
            <v>0</v>
          </cell>
          <cell r="N73" t="str">
            <v>1</v>
          </cell>
          <cell r="O73" t="str">
            <v>0</v>
          </cell>
          <cell r="P73" t="str">
            <v>false</v>
          </cell>
        </row>
        <row r="74">
          <cell r="A74" t="str">
            <v>Sange and Yasha</v>
          </cell>
          <cell r="B74" t="str">
            <v>4100</v>
          </cell>
          <cell r="C74" t="str">
            <v>0</v>
          </cell>
          <cell r="D74" t="str">
            <v>0</v>
          </cell>
          <cell r="E74" t="str">
            <v>0</v>
          </cell>
          <cell r="F74" t="str">
            <v>12</v>
          </cell>
          <cell r="G74" t="str">
            <v>16</v>
          </cell>
          <cell r="H74" t="str">
            <v>16</v>
          </cell>
          <cell r="I74" t="str">
            <v>0</v>
          </cell>
          <cell r="J74" t="str">
            <v>0</v>
          </cell>
          <cell r="K74" t="str">
            <v>0</v>
          </cell>
          <cell r="L74" t="str">
            <v>0</v>
          </cell>
          <cell r="M74" t="str">
            <v>0</v>
          </cell>
          <cell r="N74" t="str">
            <v>1</v>
          </cell>
          <cell r="O74" t="str">
            <v>0</v>
          </cell>
          <cell r="P74" t="str">
            <v>false</v>
          </cell>
        </row>
        <row r="75">
          <cell r="A75" t="str">
            <v>Satchel</v>
          </cell>
          <cell r="B75" t="str">
            <v>0</v>
          </cell>
          <cell r="C75" t="str">
            <v>0</v>
          </cell>
          <cell r="D75" t="str">
            <v>0</v>
          </cell>
          <cell r="E75" t="str">
            <v>0</v>
          </cell>
          <cell r="F75" t="str">
            <v>0</v>
          </cell>
          <cell r="G75" t="str">
            <v>5</v>
          </cell>
          <cell r="H75" t="str">
            <v>5</v>
          </cell>
          <cell r="I75" t="str">
            <v>5</v>
          </cell>
          <cell r="J75" t="str">
            <v>0</v>
          </cell>
          <cell r="K75" t="str">
            <v>0</v>
          </cell>
          <cell r="L75" t="str">
            <v>0</v>
          </cell>
          <cell r="M75" t="str">
            <v>0</v>
          </cell>
          <cell r="N75" t="str">
            <v>1</v>
          </cell>
          <cell r="O75" t="str">
            <v>0</v>
          </cell>
          <cell r="P75" t="str">
            <v>true</v>
          </cell>
        </row>
        <row r="76">
          <cell r="A76" t="str">
            <v>Scythe of Vyse</v>
          </cell>
          <cell r="B76" t="str">
            <v>5675</v>
          </cell>
          <cell r="C76" t="str">
            <v>0</v>
          </cell>
          <cell r="D76" t="str">
            <v>0</v>
          </cell>
          <cell r="E76" t="str">
            <v>0</v>
          </cell>
          <cell r="F76" t="str">
            <v>0</v>
          </cell>
          <cell r="G76" t="str">
            <v>10</v>
          </cell>
          <cell r="H76" t="str">
            <v>10</v>
          </cell>
          <cell r="I76" t="str">
            <v>35</v>
          </cell>
          <cell r="J76" t="str">
            <v>0</v>
          </cell>
          <cell r="K76" t="str">
            <v>0</v>
          </cell>
          <cell r="L76" t="str">
            <v>0</v>
          </cell>
          <cell r="M76" t="str">
            <v>0</v>
          </cell>
          <cell r="N76" t="str">
            <v>1</v>
          </cell>
          <cell r="O76" t="str">
            <v>0</v>
          </cell>
          <cell r="P76" t="str">
            <v>false</v>
          </cell>
        </row>
        <row r="77">
          <cell r="A77" t="str">
            <v>Shiva's Guard</v>
          </cell>
          <cell r="B77" t="str">
            <v>4850</v>
          </cell>
          <cell r="C77" t="str">
            <v>0</v>
          </cell>
          <cell r="D77" t="str">
            <v>0</v>
          </cell>
          <cell r="E77" t="str">
            <v>0</v>
          </cell>
          <cell r="F77" t="str">
            <v>0</v>
          </cell>
          <cell r="G77" t="str">
            <v>0</v>
          </cell>
          <cell r="H77" t="str">
            <v>0</v>
          </cell>
          <cell r="I77" t="str">
            <v>30</v>
          </cell>
          <cell r="J77" t="str">
            <v>0</v>
          </cell>
          <cell r="K77" t="str">
            <v>0</v>
          </cell>
          <cell r="L77" t="str">
            <v>0</v>
          </cell>
          <cell r="M77" t="str">
            <v>0</v>
          </cell>
          <cell r="N77" t="str">
            <v>1</v>
          </cell>
          <cell r="O77" t="str">
            <v>0</v>
          </cell>
          <cell r="P77" t="str">
            <v>false</v>
          </cell>
        </row>
        <row r="78">
          <cell r="A78" t="str">
            <v>Silver Edge</v>
          </cell>
          <cell r="B78" t="str">
            <v>5450</v>
          </cell>
          <cell r="C78" t="str">
            <v>52</v>
          </cell>
          <cell r="D78" t="str">
            <v>0</v>
          </cell>
          <cell r="E78" t="str">
            <v>0</v>
          </cell>
          <cell r="F78" t="str">
            <v>35</v>
          </cell>
          <cell r="G78" t="str">
            <v>0</v>
          </cell>
          <cell r="H78" t="str">
            <v>0</v>
          </cell>
          <cell r="I78" t="str">
            <v>0</v>
          </cell>
          <cell r="J78" t="str">
            <v>0</v>
          </cell>
          <cell r="K78" t="str">
            <v>0</v>
          </cell>
          <cell r="L78" t="str">
            <v>0</v>
          </cell>
          <cell r="M78" t="str">
            <v>0</v>
          </cell>
          <cell r="N78" t="str">
            <v>1.6</v>
          </cell>
          <cell r="O78" t="str">
            <v>0.3</v>
          </cell>
          <cell r="P78" t="str">
            <v>false</v>
          </cell>
        </row>
        <row r="79">
          <cell r="A79" t="str">
            <v>Slippers of Agility</v>
          </cell>
          <cell r="B79" t="str">
            <v>140</v>
          </cell>
          <cell r="C79" t="str">
            <v>0</v>
          </cell>
          <cell r="D79" t="str">
            <v>0</v>
          </cell>
          <cell r="E79" t="str">
            <v>0</v>
          </cell>
          <cell r="F79" t="str">
            <v>0</v>
          </cell>
          <cell r="G79" t="str">
            <v>0</v>
          </cell>
          <cell r="H79" t="str">
            <v>3</v>
          </cell>
          <cell r="I79" t="str">
            <v>0</v>
          </cell>
          <cell r="J79" t="str">
            <v>0</v>
          </cell>
          <cell r="K79" t="str">
            <v>0</v>
          </cell>
          <cell r="L79" t="str">
            <v>0</v>
          </cell>
          <cell r="M79" t="str">
            <v>0</v>
          </cell>
          <cell r="N79" t="str">
            <v>1</v>
          </cell>
          <cell r="O79" t="str">
            <v>0</v>
          </cell>
          <cell r="P79" t="str">
            <v>false</v>
          </cell>
        </row>
        <row r="80">
          <cell r="A80" t="str">
            <v>Solar Crest</v>
          </cell>
          <cell r="B80" t="str">
            <v>2625</v>
          </cell>
          <cell r="C80" t="str">
            <v>0</v>
          </cell>
          <cell r="D80" t="str">
            <v>0</v>
          </cell>
          <cell r="E80" t="str">
            <v>0</v>
          </cell>
          <cell r="F80" t="str">
            <v>0</v>
          </cell>
          <cell r="G80" t="str">
            <v>5</v>
          </cell>
          <cell r="H80" t="str">
            <v>5</v>
          </cell>
          <cell r="I80" t="str">
            <v>5</v>
          </cell>
          <cell r="J80" t="str">
            <v>0</v>
          </cell>
          <cell r="K80" t="str">
            <v>0</v>
          </cell>
          <cell r="L80" t="str">
            <v>0</v>
          </cell>
          <cell r="M80" t="str">
            <v>0</v>
          </cell>
          <cell r="N80" t="str">
            <v>1</v>
          </cell>
          <cell r="O80" t="str">
            <v>0</v>
          </cell>
          <cell r="P80" t="str">
            <v>false</v>
          </cell>
        </row>
        <row r="81">
          <cell r="A81" t="str">
            <v>Linken's Sphere</v>
          </cell>
          <cell r="B81" t="str">
            <v>4600</v>
          </cell>
          <cell r="C81" t="str">
            <v>0</v>
          </cell>
          <cell r="D81" t="str">
            <v>0</v>
          </cell>
          <cell r="E81" t="str">
            <v>0</v>
          </cell>
          <cell r="F81" t="str">
            <v>0</v>
          </cell>
          <cell r="G81" t="str">
            <v>16</v>
          </cell>
          <cell r="H81" t="str">
            <v>16</v>
          </cell>
          <cell r="I81" t="str">
            <v>16</v>
          </cell>
          <cell r="J81" t="str">
            <v>0</v>
          </cell>
          <cell r="K81" t="str">
            <v>0</v>
          </cell>
          <cell r="L81" t="str">
            <v>0</v>
          </cell>
          <cell r="M81" t="str">
            <v>0</v>
          </cell>
          <cell r="N81" t="str">
            <v>1</v>
          </cell>
          <cell r="O81" t="str">
            <v>0</v>
          </cell>
          <cell r="P81" t="str">
            <v>false</v>
          </cell>
        </row>
        <row r="82">
          <cell r="A82" t="str">
            <v>Spirit Vessel</v>
          </cell>
          <cell r="B82" t="str">
            <v>2980</v>
          </cell>
          <cell r="C82" t="str">
            <v>0</v>
          </cell>
          <cell r="D82" t="str">
            <v>0</v>
          </cell>
          <cell r="E82" t="str">
            <v>0</v>
          </cell>
          <cell r="F82" t="str">
            <v>0</v>
          </cell>
          <cell r="G82" t="str">
            <v>2</v>
          </cell>
          <cell r="H82" t="str">
            <v>2</v>
          </cell>
          <cell r="I82" t="str">
            <v>2</v>
          </cell>
          <cell r="J82" t="str">
            <v>0</v>
          </cell>
          <cell r="K82" t="str">
            <v>0</v>
          </cell>
          <cell r="L82" t="str">
            <v>0</v>
          </cell>
          <cell r="M82" t="str">
            <v>0</v>
          </cell>
          <cell r="N82" t="str">
            <v>1</v>
          </cell>
          <cell r="O82" t="str">
            <v>0</v>
          </cell>
          <cell r="P82" t="str">
            <v>false</v>
          </cell>
        </row>
        <row r="83">
          <cell r="A83" t="str">
            <v>Staff of Wizardry</v>
          </cell>
          <cell r="B83" t="str">
            <v>1000</v>
          </cell>
          <cell r="C83" t="str">
            <v>0</v>
          </cell>
          <cell r="D83" t="str">
            <v>0</v>
          </cell>
          <cell r="E83" t="str">
            <v>0</v>
          </cell>
          <cell r="F83" t="str">
            <v>0</v>
          </cell>
          <cell r="G83" t="str">
            <v>0</v>
          </cell>
          <cell r="H83" t="str">
            <v>0</v>
          </cell>
          <cell r="I83" t="str">
            <v>10</v>
          </cell>
          <cell r="J83" t="str">
            <v>0</v>
          </cell>
          <cell r="K83" t="str">
            <v>0</v>
          </cell>
          <cell r="L83" t="str">
            <v>0</v>
          </cell>
          <cell r="M83" t="str">
            <v>0</v>
          </cell>
          <cell r="N83" t="str">
            <v>1</v>
          </cell>
          <cell r="O83" t="str">
            <v>0</v>
          </cell>
          <cell r="P83" t="str">
            <v>false</v>
          </cell>
        </row>
        <row r="84">
          <cell r="A84" t="str">
            <v>Third Eye</v>
          </cell>
          <cell r="B84" t="str">
            <v>0</v>
          </cell>
          <cell r="C84" t="str">
            <v>0</v>
          </cell>
          <cell r="D84" t="str">
            <v>0</v>
          </cell>
          <cell r="E84" t="str">
            <v>0</v>
          </cell>
          <cell r="F84" t="str">
            <v>0</v>
          </cell>
          <cell r="G84" t="str">
            <v>7</v>
          </cell>
          <cell r="H84" t="str">
            <v>7</v>
          </cell>
          <cell r="I84" t="str">
            <v>7</v>
          </cell>
          <cell r="J84" t="str">
            <v>0</v>
          </cell>
          <cell r="K84" t="str">
            <v>0</v>
          </cell>
          <cell r="L84" t="str">
            <v>0</v>
          </cell>
          <cell r="M84" t="str">
            <v>0</v>
          </cell>
          <cell r="N84" t="str">
            <v>1</v>
          </cell>
          <cell r="O84" t="str">
            <v>0</v>
          </cell>
          <cell r="P84" t="str">
            <v>true</v>
          </cell>
        </row>
        <row r="85">
          <cell r="A85" t="str">
            <v>Trident</v>
          </cell>
          <cell r="B85" t="str">
            <v>0</v>
          </cell>
          <cell r="C85" t="str">
            <v>0</v>
          </cell>
          <cell r="D85" t="str">
            <v>0</v>
          </cell>
          <cell r="E85" t="str">
            <v>0</v>
          </cell>
          <cell r="F85" t="str">
            <v>30</v>
          </cell>
          <cell r="G85" t="str">
            <v>30</v>
          </cell>
          <cell r="H85" t="str">
            <v>30</v>
          </cell>
          <cell r="I85" t="str">
            <v>30</v>
          </cell>
          <cell r="J85" t="str">
            <v>0</v>
          </cell>
          <cell r="K85" t="str">
            <v>0</v>
          </cell>
          <cell r="L85" t="str">
            <v>0</v>
          </cell>
          <cell r="M85" t="str">
            <v>0</v>
          </cell>
          <cell r="N85" t="str">
            <v>1</v>
          </cell>
          <cell r="O85" t="str">
            <v>0</v>
          </cell>
          <cell r="P85" t="str">
            <v>true</v>
          </cell>
        </row>
        <row r="86">
          <cell r="A86" t="str">
            <v>Ultimate Orb</v>
          </cell>
          <cell r="B86" t="str">
            <v>2050</v>
          </cell>
          <cell r="C86" t="str">
            <v>0</v>
          </cell>
          <cell r="D86" t="str">
            <v>0</v>
          </cell>
          <cell r="E86" t="str">
            <v>0</v>
          </cell>
          <cell r="F86" t="str">
            <v>0</v>
          </cell>
          <cell r="G86" t="str">
            <v>10</v>
          </cell>
          <cell r="H86" t="str">
            <v>10</v>
          </cell>
          <cell r="I86" t="str">
            <v>10</v>
          </cell>
          <cell r="J86" t="str">
            <v>0</v>
          </cell>
          <cell r="K86" t="str">
            <v>0</v>
          </cell>
          <cell r="L86" t="str">
            <v>0</v>
          </cell>
          <cell r="M86" t="str">
            <v>0</v>
          </cell>
          <cell r="N86" t="str">
            <v>1</v>
          </cell>
          <cell r="O86" t="str">
            <v>0</v>
          </cell>
          <cell r="P86" t="str">
            <v>false</v>
          </cell>
        </row>
        <row r="87">
          <cell r="A87" t="str">
            <v>Aghanim's Scepter</v>
          </cell>
          <cell r="B87" t="str">
            <v>4200</v>
          </cell>
          <cell r="C87" t="str">
            <v>0</v>
          </cell>
          <cell r="D87" t="str">
            <v>0</v>
          </cell>
          <cell r="E87" t="str">
            <v>0</v>
          </cell>
          <cell r="F87" t="str">
            <v>0</v>
          </cell>
          <cell r="G87" t="str">
            <v>10</v>
          </cell>
          <cell r="H87" t="str">
            <v>10</v>
          </cell>
          <cell r="I87" t="str">
            <v>10</v>
          </cell>
          <cell r="J87" t="str">
            <v>0</v>
          </cell>
          <cell r="K87" t="str">
            <v>0</v>
          </cell>
          <cell r="L87" t="str">
            <v>0</v>
          </cell>
          <cell r="M87" t="str">
            <v>0</v>
          </cell>
          <cell r="N87" t="str">
            <v>1</v>
          </cell>
          <cell r="O87" t="str">
            <v>0</v>
          </cell>
          <cell r="P87" t="str">
            <v>false</v>
          </cell>
        </row>
        <row r="88">
          <cell r="A88" t="str">
            <v>Urn of Shadows</v>
          </cell>
          <cell r="B88" t="str">
            <v>880</v>
          </cell>
          <cell r="C88" t="str">
            <v>0</v>
          </cell>
          <cell r="D88" t="str">
            <v>0</v>
          </cell>
          <cell r="E88" t="str">
            <v>0</v>
          </cell>
          <cell r="F88" t="str">
            <v>0</v>
          </cell>
          <cell r="G88" t="str">
            <v>2</v>
          </cell>
          <cell r="H88" t="str">
            <v>2</v>
          </cell>
          <cell r="I88" t="str">
            <v>2</v>
          </cell>
          <cell r="J88" t="str">
            <v>0</v>
          </cell>
          <cell r="K88" t="str">
            <v>0</v>
          </cell>
          <cell r="L88" t="str">
            <v>0</v>
          </cell>
          <cell r="M88" t="str">
            <v>0</v>
          </cell>
          <cell r="N88" t="str">
            <v>1</v>
          </cell>
          <cell r="O88" t="str">
            <v>0</v>
          </cell>
          <cell r="P88" t="str">
            <v>false</v>
          </cell>
        </row>
        <row r="89">
          <cell r="A89" t="str">
            <v>Vambrace</v>
          </cell>
          <cell r="B89" t="str">
            <v>0</v>
          </cell>
          <cell r="C89" t="str">
            <v>0</v>
          </cell>
          <cell r="D89" t="str">
            <v>0</v>
          </cell>
          <cell r="E89" t="str">
            <v>0</v>
          </cell>
          <cell r="F89" t="str">
            <v>10</v>
          </cell>
          <cell r="G89" t="str">
            <v>0</v>
          </cell>
          <cell r="H89" t="str">
            <v>0</v>
          </cell>
          <cell r="I89" t="str">
            <v>0</v>
          </cell>
          <cell r="J89" t="str">
            <v>0</v>
          </cell>
          <cell r="K89" t="str">
            <v>0</v>
          </cell>
          <cell r="L89" t="str">
            <v>0</v>
          </cell>
          <cell r="M89" t="str">
            <v>0</v>
          </cell>
          <cell r="N89" t="str">
            <v>1</v>
          </cell>
          <cell r="O89" t="str">
            <v>0</v>
          </cell>
          <cell r="P89" t="str">
            <v>true</v>
          </cell>
        </row>
        <row r="90">
          <cell r="A90" t="str">
            <v>Veil of Discord</v>
          </cell>
          <cell r="B90" t="str">
            <v>1525</v>
          </cell>
          <cell r="C90" t="str">
            <v>0</v>
          </cell>
          <cell r="D90" t="str">
            <v>0</v>
          </cell>
          <cell r="E90" t="str">
            <v>0</v>
          </cell>
          <cell r="F90" t="str">
            <v>0</v>
          </cell>
          <cell r="G90" t="str">
            <v>4</v>
          </cell>
          <cell r="H90" t="str">
            <v>4</v>
          </cell>
          <cell r="I90" t="str">
            <v>4</v>
          </cell>
          <cell r="J90" t="str">
            <v>0</v>
          </cell>
          <cell r="K90" t="str">
            <v>0</v>
          </cell>
          <cell r="L90" t="str">
            <v>0</v>
          </cell>
          <cell r="M90" t="str">
            <v>0</v>
          </cell>
          <cell r="N90" t="str">
            <v>1</v>
          </cell>
          <cell r="O90" t="str">
            <v>0</v>
          </cell>
          <cell r="P90" t="str">
            <v>false</v>
          </cell>
        </row>
        <row r="91">
          <cell r="A91" t="str">
            <v>Warhammer</v>
          </cell>
          <cell r="B91" t="str">
            <v>0</v>
          </cell>
          <cell r="C91" t="str">
            <v>0</v>
          </cell>
          <cell r="D91" t="str">
            <v>0</v>
          </cell>
          <cell r="E91" t="str">
            <v>0</v>
          </cell>
          <cell r="F91" t="str">
            <v>0</v>
          </cell>
          <cell r="G91" t="str">
            <v>10</v>
          </cell>
          <cell r="H91" t="str">
            <v>0</v>
          </cell>
          <cell r="I91" t="str">
            <v>0</v>
          </cell>
          <cell r="J91" t="str">
            <v>0</v>
          </cell>
          <cell r="K91" t="str">
            <v>0</v>
          </cell>
          <cell r="L91" t="str">
            <v>0</v>
          </cell>
          <cell r="M91" t="str">
            <v>0</v>
          </cell>
          <cell r="N91" t="str">
            <v>1</v>
          </cell>
          <cell r="O91" t="str">
            <v>0</v>
          </cell>
          <cell r="P91" t="str">
            <v>true</v>
          </cell>
        </row>
        <row r="92">
          <cell r="A92" t="str">
            <v>Wind Waker</v>
          </cell>
          <cell r="B92" t="str">
            <v>6825</v>
          </cell>
          <cell r="C92" t="str">
            <v>0</v>
          </cell>
          <cell r="D92" t="str">
            <v>0</v>
          </cell>
          <cell r="E92" t="str">
            <v>0</v>
          </cell>
          <cell r="F92" t="str">
            <v>0</v>
          </cell>
          <cell r="G92" t="str">
            <v>0</v>
          </cell>
          <cell r="H92" t="str">
            <v>0</v>
          </cell>
          <cell r="I92" t="str">
            <v>35</v>
          </cell>
          <cell r="J92" t="str">
            <v>0</v>
          </cell>
          <cell r="K92" t="str">
            <v>0</v>
          </cell>
          <cell r="L92" t="str">
            <v>0</v>
          </cell>
          <cell r="M92" t="str">
            <v>0</v>
          </cell>
          <cell r="N92" t="str">
            <v>1</v>
          </cell>
          <cell r="O92" t="str">
            <v>0</v>
          </cell>
          <cell r="P92" t="str">
            <v>false</v>
          </cell>
        </row>
        <row r="93">
          <cell r="A93" t="str">
            <v>Witch Blade</v>
          </cell>
          <cell r="B93" t="str">
            <v>2600</v>
          </cell>
          <cell r="C93" t="str">
            <v>0</v>
          </cell>
          <cell r="D93" t="str">
            <v>0</v>
          </cell>
          <cell r="E93" t="str">
            <v>0</v>
          </cell>
          <cell r="F93" t="str">
            <v>35</v>
          </cell>
          <cell r="G93" t="str">
            <v>0</v>
          </cell>
          <cell r="H93" t="str">
            <v>0</v>
          </cell>
          <cell r="I93" t="str">
            <v>14</v>
          </cell>
          <cell r="J93" t="str">
            <v>0</v>
          </cell>
          <cell r="K93" t="str">
            <v>0</v>
          </cell>
          <cell r="L93" t="str">
            <v>0</v>
          </cell>
          <cell r="M93" t="str">
            <v>0</v>
          </cell>
          <cell r="N93" t="str">
            <v>1</v>
          </cell>
          <cell r="O93" t="str">
            <v>0</v>
          </cell>
          <cell r="P93" t="str">
            <v>false</v>
          </cell>
        </row>
        <row r="94">
          <cell r="A94" t="str">
            <v>Yasha</v>
          </cell>
          <cell r="B94" t="str">
            <v>2050</v>
          </cell>
          <cell r="C94" t="str">
            <v>0</v>
          </cell>
          <cell r="D94" t="str">
            <v>0</v>
          </cell>
          <cell r="E94" t="str">
            <v>0</v>
          </cell>
          <cell r="F94" t="str">
            <v>12</v>
          </cell>
          <cell r="G94" t="str">
            <v>0</v>
          </cell>
          <cell r="H94" t="str">
            <v>16</v>
          </cell>
          <cell r="I94" t="str">
            <v>0</v>
          </cell>
          <cell r="J94" t="str">
            <v>0</v>
          </cell>
          <cell r="K94" t="str">
            <v>0</v>
          </cell>
          <cell r="L94" t="str">
            <v>0</v>
          </cell>
          <cell r="M94" t="str">
            <v>0</v>
          </cell>
          <cell r="N94" t="str">
            <v>1</v>
          </cell>
          <cell r="O94" t="str">
            <v>0</v>
          </cell>
          <cell r="P94" t="str">
            <v>false</v>
          </cell>
        </row>
      </sheetData>
      <sheetData sheetId="1">
        <row r="1">
          <cell r="A1" t="str">
            <v>Anti-Mage</v>
          </cell>
          <cell r="B1" t="str">
            <v>agi</v>
          </cell>
          <cell r="C1" t="str">
            <v>Melee</v>
          </cell>
          <cell r="D1" t="str">
            <v>1.4</v>
          </cell>
          <cell r="E1" t="str">
            <v>100</v>
          </cell>
        </row>
        <row r="2">
          <cell r="A2" t="str">
            <v>Morphling</v>
          </cell>
          <cell r="B2" t="str">
            <v>agi</v>
          </cell>
          <cell r="C2" t="str">
            <v>Ranged</v>
          </cell>
          <cell r="D2" t="str">
            <v>1.5</v>
          </cell>
          <cell r="E2" t="str">
            <v>100</v>
          </cell>
        </row>
        <row r="3">
          <cell r="A3" t="str">
            <v>Tusk</v>
          </cell>
          <cell r="B3" t="str">
            <v>str</v>
          </cell>
          <cell r="C3" t="str">
            <v>Melee</v>
          </cell>
          <cell r="D3" t="str">
            <v>1.7</v>
          </cell>
          <cell r="E3" t="str">
            <v>100</v>
          </cell>
        </row>
        <row r="4">
          <cell r="A4" t="str">
            <v>Skywrath Mage</v>
          </cell>
          <cell r="B4" t="str">
            <v>int</v>
          </cell>
          <cell r="C4" t="str">
            <v>Ranged</v>
          </cell>
          <cell r="D4" t="str">
            <v>1.7</v>
          </cell>
          <cell r="E4" t="str">
            <v>100</v>
          </cell>
        </row>
        <row r="5">
          <cell r="A5" t="str">
            <v>Abaddon</v>
          </cell>
          <cell r="B5" t="str">
            <v>str</v>
          </cell>
          <cell r="C5" t="str">
            <v>Melee</v>
          </cell>
          <cell r="D5" t="str">
            <v>1.7</v>
          </cell>
          <cell r="E5" t="str">
            <v>100</v>
          </cell>
        </row>
        <row r="6">
          <cell r="A6" t="str">
            <v>Elder Titan</v>
          </cell>
          <cell r="B6" t="str">
            <v>str</v>
          </cell>
          <cell r="C6" t="str">
            <v>Melee</v>
          </cell>
          <cell r="D6" t="str">
            <v>1.7</v>
          </cell>
          <cell r="E6" t="str">
            <v>100</v>
          </cell>
        </row>
        <row r="7">
          <cell r="A7" t="str">
            <v>Legion Commander</v>
          </cell>
          <cell r="B7" t="str">
            <v>str</v>
          </cell>
          <cell r="C7" t="str">
            <v>Melee</v>
          </cell>
          <cell r="D7" t="str">
            <v>1.7</v>
          </cell>
          <cell r="E7" t="str">
            <v>100</v>
          </cell>
        </row>
        <row r="8">
          <cell r="A8" t="str">
            <v>Techies</v>
          </cell>
          <cell r="B8" t="str">
            <v>int</v>
          </cell>
          <cell r="C8" t="str">
            <v>Ranged</v>
          </cell>
          <cell r="D8" t="str">
            <v>1.7</v>
          </cell>
          <cell r="E8" t="str">
            <v>100</v>
          </cell>
        </row>
        <row r="9">
          <cell r="A9" t="str">
            <v>Ember Spirit</v>
          </cell>
          <cell r="B9" t="str">
            <v>agi</v>
          </cell>
          <cell r="C9" t="str">
            <v>Melee</v>
          </cell>
          <cell r="D9" t="str">
            <v>1.7</v>
          </cell>
          <cell r="E9" t="str">
            <v>100</v>
          </cell>
        </row>
        <row r="10">
          <cell r="A10" t="str">
            <v>Earth Spirit</v>
          </cell>
          <cell r="B10" t="str">
            <v>str</v>
          </cell>
          <cell r="C10" t="str">
            <v>Melee</v>
          </cell>
          <cell r="D10" t="str">
            <v>1.7</v>
          </cell>
          <cell r="E10" t="str">
            <v>100</v>
          </cell>
        </row>
        <row r="11">
          <cell r="A11" t="str">
            <v>Underlord</v>
          </cell>
          <cell r="B11" t="str">
            <v>str</v>
          </cell>
          <cell r="C11" t="str">
            <v>Melee</v>
          </cell>
          <cell r="D11" t="str">
            <v>1.7</v>
          </cell>
          <cell r="E11" t="str">
            <v>100</v>
          </cell>
        </row>
        <row r="12">
          <cell r="A12" t="str">
            <v>Terrorblade</v>
          </cell>
          <cell r="B12" t="str">
            <v>agi</v>
          </cell>
          <cell r="C12" t="str">
            <v>Melee</v>
          </cell>
          <cell r="D12" t="str">
            <v>1.5</v>
          </cell>
          <cell r="E12" t="str">
            <v>100</v>
          </cell>
        </row>
        <row r="13">
          <cell r="A13" t="str">
            <v>Shadow Fiend</v>
          </cell>
          <cell r="B13" t="str">
            <v>agi</v>
          </cell>
          <cell r="C13" t="str">
            <v>Ranged</v>
          </cell>
          <cell r="D13" t="str">
            <v>1.6</v>
          </cell>
          <cell r="E13" t="str">
            <v>100</v>
          </cell>
        </row>
        <row r="14">
          <cell r="A14" t="str">
            <v>Phoenix</v>
          </cell>
          <cell r="B14" t="str">
            <v>str</v>
          </cell>
          <cell r="C14" t="str">
            <v>Ranged</v>
          </cell>
          <cell r="D14" t="str">
            <v>1.7</v>
          </cell>
          <cell r="E14" t="str">
            <v>100</v>
          </cell>
        </row>
        <row r="15">
          <cell r="A15" t="str">
            <v>Oracle</v>
          </cell>
          <cell r="B15" t="str">
            <v>int</v>
          </cell>
          <cell r="C15" t="str">
            <v>Ranged</v>
          </cell>
          <cell r="D15" t="str">
            <v>1.7</v>
          </cell>
          <cell r="E15" t="str">
            <v>100</v>
          </cell>
        </row>
        <row r="16">
          <cell r="A16" t="str">
            <v>Winter Wyvern</v>
          </cell>
          <cell r="B16" t="str">
            <v>int</v>
          </cell>
          <cell r="C16" t="str">
            <v>Ranged</v>
          </cell>
          <cell r="D16" t="str">
            <v>1.7</v>
          </cell>
          <cell r="E16" t="str">
            <v>100</v>
          </cell>
        </row>
        <row r="17">
          <cell r="A17" t="str">
            <v>Arc Warden</v>
          </cell>
          <cell r="B17" t="str">
            <v>agi</v>
          </cell>
          <cell r="C17" t="str">
            <v>Ranged</v>
          </cell>
          <cell r="D17" t="str">
            <v>1.7</v>
          </cell>
          <cell r="E17" t="str">
            <v>100</v>
          </cell>
        </row>
        <row r="18">
          <cell r="A18" t="str">
            <v>Monkey King</v>
          </cell>
          <cell r="B18" t="str">
            <v>agi</v>
          </cell>
          <cell r="C18" t="str">
            <v>Melee</v>
          </cell>
          <cell r="D18" t="str">
            <v>1.7</v>
          </cell>
          <cell r="E18" t="str">
            <v>100</v>
          </cell>
        </row>
        <row r="19">
          <cell r="A19" t="str">
            <v>Dark Willow</v>
          </cell>
          <cell r="B19" t="str">
            <v>int</v>
          </cell>
          <cell r="C19" t="str">
            <v>Ranged</v>
          </cell>
          <cell r="D19" t="str">
            <v>1.5</v>
          </cell>
          <cell r="E19" t="str">
            <v>100</v>
          </cell>
        </row>
        <row r="20">
          <cell r="A20" t="str">
            <v>Phantom Lancer</v>
          </cell>
          <cell r="B20" t="str">
            <v>agi</v>
          </cell>
          <cell r="C20" t="str">
            <v>Melee</v>
          </cell>
          <cell r="D20" t="str">
            <v>1.7</v>
          </cell>
          <cell r="E20" t="str">
            <v>100</v>
          </cell>
        </row>
        <row r="21">
          <cell r="A21" t="str">
            <v>Pangolier</v>
          </cell>
          <cell r="B21" t="str">
            <v>agi</v>
          </cell>
          <cell r="C21" t="str">
            <v>Melee</v>
          </cell>
          <cell r="D21" t="str">
            <v>1.7</v>
          </cell>
          <cell r="E21" t="str">
            <v>100</v>
          </cell>
        </row>
        <row r="22">
          <cell r="A22" t="str">
            <v>Grimstroke</v>
          </cell>
          <cell r="B22" t="str">
            <v>int</v>
          </cell>
          <cell r="C22" t="str">
            <v>Ranged</v>
          </cell>
          <cell r="D22" t="str">
            <v>1.7</v>
          </cell>
          <cell r="E22" t="str">
            <v>100</v>
          </cell>
        </row>
        <row r="23">
          <cell r="A23" t="str">
            <v>Hoodwink</v>
          </cell>
          <cell r="B23" t="str">
            <v>agi</v>
          </cell>
          <cell r="C23" t="str">
            <v>Ranged</v>
          </cell>
          <cell r="D23" t="str">
            <v>2</v>
          </cell>
          <cell r="E23" t="str">
            <v>100</v>
          </cell>
        </row>
        <row r="24">
          <cell r="A24" t="str">
            <v>Void Spirit</v>
          </cell>
          <cell r="B24" t="str">
            <v>int</v>
          </cell>
          <cell r="C24" t="str">
            <v>Melee</v>
          </cell>
          <cell r="D24" t="str">
            <v>1.7</v>
          </cell>
          <cell r="E24" t="str">
            <v>100</v>
          </cell>
        </row>
        <row r="25">
          <cell r="A25" t="str">
            <v>Snapfire</v>
          </cell>
          <cell r="B25" t="str">
            <v>str</v>
          </cell>
          <cell r="C25" t="str">
            <v>Ranged</v>
          </cell>
          <cell r="D25" t="str">
            <v>1.6</v>
          </cell>
          <cell r="E25" t="str">
            <v>100</v>
          </cell>
        </row>
        <row r="26">
          <cell r="A26" t="str">
            <v>Mars</v>
          </cell>
          <cell r="B26" t="str">
            <v>str</v>
          </cell>
          <cell r="C26" t="str">
            <v>Melee</v>
          </cell>
          <cell r="D26" t="str">
            <v>1.8</v>
          </cell>
          <cell r="E26" t="str">
            <v>100</v>
          </cell>
        </row>
        <row r="27">
          <cell r="A27" t="str">
            <v>Puck</v>
          </cell>
          <cell r="B27" t="str">
            <v>int</v>
          </cell>
          <cell r="C27" t="str">
            <v>Ranged</v>
          </cell>
          <cell r="D27" t="str">
            <v>1.7</v>
          </cell>
          <cell r="E27" t="str">
            <v>100</v>
          </cell>
        </row>
        <row r="28">
          <cell r="A28" t="str">
            <v>Dawnbreaker</v>
          </cell>
          <cell r="B28" t="str">
            <v>str</v>
          </cell>
          <cell r="C28" t="str">
            <v>Melee</v>
          </cell>
          <cell r="D28" t="str">
            <v>1.7</v>
          </cell>
          <cell r="E28" t="str">
            <v>100</v>
          </cell>
        </row>
        <row r="29">
          <cell r="A29" t="str">
            <v>Marci</v>
          </cell>
          <cell r="B29" t="str">
            <v>str</v>
          </cell>
          <cell r="C29" t="str">
            <v>Melee</v>
          </cell>
          <cell r="D29" t="str">
            <v>1.7</v>
          </cell>
          <cell r="E29" t="str">
            <v>100</v>
          </cell>
        </row>
        <row r="30">
          <cell r="A30" t="str">
            <v>Primal Beast</v>
          </cell>
          <cell r="B30" t="str">
            <v>str</v>
          </cell>
          <cell r="C30" t="str">
            <v>Melee</v>
          </cell>
          <cell r="D30" t="str">
            <v>1.8</v>
          </cell>
          <cell r="E30" t="str">
            <v>100</v>
          </cell>
        </row>
        <row r="31">
          <cell r="A31" t="str">
            <v>Pudge</v>
          </cell>
          <cell r="B31" t="str">
            <v>str</v>
          </cell>
          <cell r="C31" t="str">
            <v>Melee</v>
          </cell>
          <cell r="D31" t="str">
            <v>1.7</v>
          </cell>
          <cell r="E31" t="str">
            <v>100</v>
          </cell>
        </row>
        <row r="32">
          <cell r="A32" t="str">
            <v>Razor</v>
          </cell>
          <cell r="B32" t="str">
            <v>agi</v>
          </cell>
          <cell r="C32" t="str">
            <v>Ranged</v>
          </cell>
          <cell r="D32" t="str">
            <v>1.7</v>
          </cell>
          <cell r="E32" t="str">
            <v>100</v>
          </cell>
        </row>
        <row r="33">
          <cell r="A33" t="str">
            <v>Sand King</v>
          </cell>
          <cell r="B33" t="str">
            <v>str</v>
          </cell>
          <cell r="C33" t="str">
            <v>Melee</v>
          </cell>
          <cell r="D33" t="str">
            <v>1.7</v>
          </cell>
          <cell r="E33" t="str">
            <v>100</v>
          </cell>
        </row>
        <row r="34">
          <cell r="A34" t="str">
            <v>Storm Spirit</v>
          </cell>
          <cell r="B34" t="str">
            <v>int</v>
          </cell>
          <cell r="C34" t="str">
            <v>Ranged</v>
          </cell>
          <cell r="D34" t="str">
            <v>1.7</v>
          </cell>
          <cell r="E34" t="str">
            <v>100</v>
          </cell>
        </row>
        <row r="35">
          <cell r="A35" t="str">
            <v>Sven</v>
          </cell>
          <cell r="B35" t="str">
            <v>str</v>
          </cell>
          <cell r="C35" t="str">
            <v>Melee</v>
          </cell>
          <cell r="D35" t="str">
            <v>1.9</v>
          </cell>
          <cell r="E35" t="str">
            <v>100</v>
          </cell>
        </row>
        <row r="36">
          <cell r="A36" t="str">
            <v>Tiny</v>
          </cell>
          <cell r="B36" t="str">
            <v>str</v>
          </cell>
          <cell r="C36" t="str">
            <v>Melee</v>
          </cell>
          <cell r="D36" t="str">
            <v>1.7</v>
          </cell>
          <cell r="E36" t="str">
            <v>100</v>
          </cell>
        </row>
        <row r="37">
          <cell r="A37" t="str">
            <v>Axe</v>
          </cell>
          <cell r="B37" t="str">
            <v>str</v>
          </cell>
          <cell r="C37" t="str">
            <v>Melee</v>
          </cell>
          <cell r="D37" t="str">
            <v>1.7</v>
          </cell>
          <cell r="E37" t="str">
            <v>100</v>
          </cell>
        </row>
        <row r="38">
          <cell r="A38" t="str">
            <v>Vengeful Spirit</v>
          </cell>
          <cell r="B38" t="str">
            <v>agi</v>
          </cell>
          <cell r="C38" t="str">
            <v>Ranged</v>
          </cell>
          <cell r="D38" t="str">
            <v>1.7</v>
          </cell>
          <cell r="E38" t="str">
            <v>100</v>
          </cell>
        </row>
        <row r="39">
          <cell r="A39" t="str">
            <v>Windranger</v>
          </cell>
          <cell r="B39" t="str">
            <v>int</v>
          </cell>
          <cell r="C39" t="str">
            <v>Ranged</v>
          </cell>
          <cell r="D39" t="str">
            <v>1.5</v>
          </cell>
          <cell r="E39" t="str">
            <v>100</v>
          </cell>
        </row>
        <row r="40">
          <cell r="A40" t="str">
            <v>Zeus</v>
          </cell>
          <cell r="B40" t="str">
            <v>int</v>
          </cell>
          <cell r="C40" t="str">
            <v>Ranged</v>
          </cell>
          <cell r="D40" t="str">
            <v>1.7</v>
          </cell>
          <cell r="E40" t="str">
            <v>100</v>
          </cell>
        </row>
        <row r="41">
          <cell r="A41" t="str">
            <v>Kunkka</v>
          </cell>
          <cell r="B41" t="str">
            <v>str</v>
          </cell>
          <cell r="C41" t="str">
            <v>Melee</v>
          </cell>
          <cell r="D41" t="str">
            <v>1.7</v>
          </cell>
          <cell r="E41" t="str">
            <v>100</v>
          </cell>
        </row>
        <row r="42">
          <cell r="A42" t="str">
            <v>Lina</v>
          </cell>
          <cell r="B42" t="str">
            <v>int</v>
          </cell>
          <cell r="C42" t="str">
            <v>Ranged</v>
          </cell>
          <cell r="D42" t="str">
            <v>1.6</v>
          </cell>
          <cell r="E42" t="str">
            <v>100</v>
          </cell>
        </row>
        <row r="43">
          <cell r="A43" t="str">
            <v>Lion</v>
          </cell>
          <cell r="B43" t="str">
            <v>int</v>
          </cell>
          <cell r="C43" t="str">
            <v>Ranged</v>
          </cell>
          <cell r="D43" t="str">
            <v>1.7</v>
          </cell>
          <cell r="E43" t="str">
            <v>100</v>
          </cell>
        </row>
        <row r="44">
          <cell r="A44" t="str">
            <v>Shadow Shaman</v>
          </cell>
          <cell r="B44" t="str">
            <v>int</v>
          </cell>
          <cell r="C44" t="str">
            <v>Ranged</v>
          </cell>
          <cell r="D44" t="str">
            <v>1.7</v>
          </cell>
          <cell r="E44" t="str">
            <v>100</v>
          </cell>
        </row>
        <row r="45">
          <cell r="A45" t="str">
            <v>Slardar</v>
          </cell>
          <cell r="B45" t="str">
            <v>str</v>
          </cell>
          <cell r="C45" t="str">
            <v>Melee</v>
          </cell>
          <cell r="D45" t="str">
            <v>1.7</v>
          </cell>
          <cell r="E45" t="str">
            <v>100</v>
          </cell>
        </row>
        <row r="46">
          <cell r="A46" t="str">
            <v>Tidehunter</v>
          </cell>
          <cell r="B46" t="str">
            <v>str</v>
          </cell>
          <cell r="C46" t="str">
            <v>Melee</v>
          </cell>
          <cell r="D46" t="str">
            <v>1.7</v>
          </cell>
          <cell r="E46" t="str">
            <v>100</v>
          </cell>
        </row>
        <row r="47">
          <cell r="A47" t="str">
            <v>Bane</v>
          </cell>
          <cell r="B47" t="str">
            <v>int</v>
          </cell>
          <cell r="C47" t="str">
            <v>Ranged</v>
          </cell>
          <cell r="D47" t="str">
            <v>1.7</v>
          </cell>
          <cell r="E47" t="str">
            <v>100</v>
          </cell>
        </row>
        <row r="48">
          <cell r="A48" t="str">
            <v>Witch Doctor</v>
          </cell>
          <cell r="B48" t="str">
            <v>int</v>
          </cell>
          <cell r="C48" t="str">
            <v>Ranged</v>
          </cell>
          <cell r="D48" t="str">
            <v>1.7</v>
          </cell>
          <cell r="E48" t="str">
            <v>100</v>
          </cell>
        </row>
        <row r="49">
          <cell r="A49" t="str">
            <v>Lich</v>
          </cell>
          <cell r="B49" t="str">
            <v>int</v>
          </cell>
          <cell r="C49" t="str">
            <v>Ranged</v>
          </cell>
          <cell r="D49" t="str">
            <v>1.7</v>
          </cell>
          <cell r="E49" t="str">
            <v>100</v>
          </cell>
        </row>
        <row r="50">
          <cell r="A50" t="str">
            <v>Riki</v>
          </cell>
          <cell r="B50" t="str">
            <v>agi</v>
          </cell>
          <cell r="C50" t="str">
            <v>Melee</v>
          </cell>
          <cell r="D50" t="str">
            <v>1.7</v>
          </cell>
          <cell r="E50" t="str">
            <v>100</v>
          </cell>
        </row>
        <row r="51">
          <cell r="A51" t="str">
            <v>Enigma</v>
          </cell>
          <cell r="B51" t="str">
            <v>int</v>
          </cell>
          <cell r="C51" t="str">
            <v>Ranged</v>
          </cell>
          <cell r="D51" t="str">
            <v>1.7</v>
          </cell>
          <cell r="E51" t="str">
            <v>100</v>
          </cell>
        </row>
        <row r="52">
          <cell r="A52" t="str">
            <v>Tinker</v>
          </cell>
          <cell r="B52" t="str">
            <v>int</v>
          </cell>
          <cell r="C52" t="str">
            <v>Ranged</v>
          </cell>
          <cell r="D52" t="str">
            <v>1.7</v>
          </cell>
          <cell r="E52" t="str">
            <v>100</v>
          </cell>
        </row>
        <row r="53">
          <cell r="A53" t="str">
            <v>Sniper</v>
          </cell>
          <cell r="B53" t="str">
            <v>agi</v>
          </cell>
          <cell r="C53" t="str">
            <v>Ranged</v>
          </cell>
          <cell r="D53" t="str">
            <v>1.7</v>
          </cell>
          <cell r="E53" t="str">
            <v>100</v>
          </cell>
        </row>
        <row r="54">
          <cell r="A54" t="str">
            <v>Necrophos</v>
          </cell>
          <cell r="B54" t="str">
            <v>int</v>
          </cell>
          <cell r="C54" t="str">
            <v>Ranged</v>
          </cell>
          <cell r="D54" t="str">
            <v>1.7</v>
          </cell>
          <cell r="E54" t="str">
            <v>100</v>
          </cell>
        </row>
        <row r="55">
          <cell r="A55" t="str">
            <v>Warlock</v>
          </cell>
          <cell r="B55" t="str">
            <v>int</v>
          </cell>
          <cell r="C55" t="str">
            <v>Ranged</v>
          </cell>
          <cell r="D55" t="str">
            <v>1.7</v>
          </cell>
          <cell r="E55" t="str">
            <v>100</v>
          </cell>
        </row>
        <row r="56">
          <cell r="A56" t="str">
            <v>Beastmaster</v>
          </cell>
          <cell r="B56" t="str">
            <v>str</v>
          </cell>
          <cell r="C56" t="str">
            <v>Melee</v>
          </cell>
          <cell r="D56" t="str">
            <v>1.7</v>
          </cell>
          <cell r="E56" t="str">
            <v>100</v>
          </cell>
        </row>
        <row r="57">
          <cell r="A57" t="str">
            <v>Queen of Pain</v>
          </cell>
          <cell r="B57" t="str">
            <v>int</v>
          </cell>
          <cell r="C57" t="str">
            <v>Ranged</v>
          </cell>
          <cell r="D57" t="str">
            <v>1.5</v>
          </cell>
          <cell r="E57" t="str">
            <v>100</v>
          </cell>
        </row>
        <row r="58">
          <cell r="A58" t="str">
            <v>Bloodseeker</v>
          </cell>
          <cell r="B58" t="str">
            <v>agi</v>
          </cell>
          <cell r="C58" t="str">
            <v>Melee</v>
          </cell>
          <cell r="D58" t="str">
            <v>1.7</v>
          </cell>
          <cell r="E58" t="str">
            <v>100</v>
          </cell>
        </row>
        <row r="59">
          <cell r="A59" t="str">
            <v>Venomancer</v>
          </cell>
          <cell r="B59" t="str">
            <v>agi</v>
          </cell>
          <cell r="C59" t="str">
            <v>Ranged</v>
          </cell>
          <cell r="D59" t="str">
            <v>1.7</v>
          </cell>
          <cell r="E59" t="str">
            <v>100</v>
          </cell>
        </row>
        <row r="60">
          <cell r="A60" t="str">
            <v>Faceless Void</v>
          </cell>
          <cell r="B60" t="str">
            <v>agi</v>
          </cell>
          <cell r="C60" t="str">
            <v>Melee</v>
          </cell>
          <cell r="D60" t="str">
            <v>1.7</v>
          </cell>
          <cell r="E60" t="str">
            <v>100</v>
          </cell>
        </row>
        <row r="61">
          <cell r="A61" t="str">
            <v>Wraith King</v>
          </cell>
          <cell r="B61" t="str">
            <v>str</v>
          </cell>
          <cell r="C61" t="str">
            <v>Melee</v>
          </cell>
          <cell r="D61" t="str">
            <v>1.7</v>
          </cell>
          <cell r="E61" t="str">
            <v>100</v>
          </cell>
        </row>
        <row r="62">
          <cell r="A62" t="str">
            <v>Death Prophet</v>
          </cell>
          <cell r="B62" t="str">
            <v>int</v>
          </cell>
          <cell r="C62" t="str">
            <v>Ranged</v>
          </cell>
          <cell r="D62" t="str">
            <v>1.7</v>
          </cell>
          <cell r="E62" t="str">
            <v>100</v>
          </cell>
        </row>
        <row r="63">
          <cell r="A63" t="str">
            <v>Phantom Assassin</v>
          </cell>
          <cell r="B63" t="str">
            <v>agi</v>
          </cell>
          <cell r="C63" t="str">
            <v>Melee</v>
          </cell>
          <cell r="D63" t="str">
            <v>1.7</v>
          </cell>
          <cell r="E63" t="str">
            <v>100</v>
          </cell>
        </row>
        <row r="64">
          <cell r="A64" t="str">
            <v>Pugna</v>
          </cell>
          <cell r="B64" t="str">
            <v>int</v>
          </cell>
          <cell r="C64" t="str">
            <v>Ranged</v>
          </cell>
          <cell r="D64" t="str">
            <v>1.7</v>
          </cell>
          <cell r="E64" t="str">
            <v>100</v>
          </cell>
        </row>
        <row r="65">
          <cell r="A65" t="str">
            <v>Templar Assassin</v>
          </cell>
          <cell r="B65" t="str">
            <v>agi</v>
          </cell>
          <cell r="C65" t="str">
            <v>Ranged</v>
          </cell>
          <cell r="D65" t="str">
            <v>1.7</v>
          </cell>
          <cell r="E65" t="str">
            <v>100</v>
          </cell>
        </row>
        <row r="66">
          <cell r="A66" t="str">
            <v>Viper</v>
          </cell>
          <cell r="B66" t="str">
            <v>agi</v>
          </cell>
          <cell r="C66" t="str">
            <v>Ranged</v>
          </cell>
          <cell r="D66" t="str">
            <v>1.7</v>
          </cell>
          <cell r="E66" t="str">
            <v>100</v>
          </cell>
        </row>
        <row r="67">
          <cell r="A67" t="str">
            <v>Luna</v>
          </cell>
          <cell r="B67" t="str">
            <v>agi</v>
          </cell>
          <cell r="C67" t="str">
            <v>Ranged</v>
          </cell>
          <cell r="D67" t="str">
            <v>1.7</v>
          </cell>
          <cell r="E67" t="str">
            <v>100</v>
          </cell>
        </row>
        <row r="68">
          <cell r="A68" t="str">
            <v>Dragon Knight</v>
          </cell>
          <cell r="B68" t="str">
            <v>str</v>
          </cell>
          <cell r="C68" t="str">
            <v>Melee</v>
          </cell>
          <cell r="D68" t="str">
            <v>1.7</v>
          </cell>
          <cell r="E68" t="str">
            <v>100</v>
          </cell>
        </row>
        <row r="69">
          <cell r="A69" t="str">
            <v>Crystal Maiden</v>
          </cell>
          <cell r="B69" t="str">
            <v>int</v>
          </cell>
          <cell r="C69" t="str">
            <v>Ranged</v>
          </cell>
          <cell r="D69" t="str">
            <v>1.7</v>
          </cell>
          <cell r="E69" t="str">
            <v>100</v>
          </cell>
        </row>
        <row r="70">
          <cell r="A70" t="str">
            <v>Dazzle</v>
          </cell>
          <cell r="B70" t="str">
            <v>int</v>
          </cell>
          <cell r="C70" t="str">
            <v>Ranged</v>
          </cell>
          <cell r="D70" t="str">
            <v>1.7</v>
          </cell>
          <cell r="E70" t="str">
            <v>100</v>
          </cell>
        </row>
        <row r="71">
          <cell r="A71" t="str">
            <v>Clockwerk</v>
          </cell>
          <cell r="B71" t="str">
            <v>str</v>
          </cell>
          <cell r="C71" t="str">
            <v>Melee</v>
          </cell>
          <cell r="D71" t="str">
            <v>1.7</v>
          </cell>
          <cell r="E71" t="str">
            <v>100</v>
          </cell>
        </row>
        <row r="72">
          <cell r="A72" t="str">
            <v>Leshrac</v>
          </cell>
          <cell r="B72" t="str">
            <v>int</v>
          </cell>
          <cell r="C72" t="str">
            <v>Ranged</v>
          </cell>
          <cell r="D72" t="str">
            <v>1.7</v>
          </cell>
          <cell r="E72" t="str">
            <v>100</v>
          </cell>
        </row>
        <row r="73">
          <cell r="A73" t="str">
            <v>Nature's Prophet</v>
          </cell>
          <cell r="B73" t="str">
            <v>int</v>
          </cell>
          <cell r="C73" t="str">
            <v>Ranged</v>
          </cell>
          <cell r="D73" t="str">
            <v>1.7</v>
          </cell>
          <cell r="E73" t="str">
            <v>100</v>
          </cell>
        </row>
        <row r="74">
          <cell r="A74" t="str">
            <v>Lifestealer</v>
          </cell>
          <cell r="B74" t="str">
            <v>str</v>
          </cell>
          <cell r="C74" t="str">
            <v>Melee</v>
          </cell>
          <cell r="D74" t="str">
            <v>1.7</v>
          </cell>
          <cell r="E74" t="str">
            <v>100</v>
          </cell>
        </row>
        <row r="75">
          <cell r="A75" t="str">
            <v>Dark Seer</v>
          </cell>
          <cell r="B75" t="str">
            <v>int</v>
          </cell>
          <cell r="C75" t="str">
            <v>Melee</v>
          </cell>
          <cell r="D75" t="str">
            <v>1.7</v>
          </cell>
          <cell r="E75" t="str">
            <v>100</v>
          </cell>
        </row>
        <row r="76">
          <cell r="A76" t="str">
            <v>Clinkz</v>
          </cell>
          <cell r="B76" t="str">
            <v>agi</v>
          </cell>
          <cell r="C76" t="str">
            <v>Ranged</v>
          </cell>
          <cell r="D76" t="str">
            <v>1.7</v>
          </cell>
          <cell r="E76" t="str">
            <v>100</v>
          </cell>
        </row>
        <row r="77">
          <cell r="A77" t="str">
            <v>Omniknight</v>
          </cell>
          <cell r="B77" t="str">
            <v>str</v>
          </cell>
          <cell r="C77" t="str">
            <v>Melee</v>
          </cell>
          <cell r="D77" t="str">
            <v>1.7</v>
          </cell>
          <cell r="E77" t="str">
            <v>100</v>
          </cell>
        </row>
        <row r="78">
          <cell r="A78" t="str">
            <v>Enchantress</v>
          </cell>
          <cell r="B78" t="str">
            <v>int</v>
          </cell>
          <cell r="C78" t="str">
            <v>Ranged</v>
          </cell>
          <cell r="D78" t="str">
            <v>1.7</v>
          </cell>
          <cell r="E78" t="str">
            <v>100</v>
          </cell>
        </row>
        <row r="79">
          <cell r="A79" t="str">
            <v>Huskar</v>
          </cell>
          <cell r="B79" t="str">
            <v>str</v>
          </cell>
          <cell r="C79" t="str">
            <v>Ranged</v>
          </cell>
          <cell r="D79" t="str">
            <v>1.6</v>
          </cell>
          <cell r="E79" t="str">
            <v>100</v>
          </cell>
        </row>
        <row r="80">
          <cell r="A80" t="str">
            <v>Drow Ranger</v>
          </cell>
          <cell r="B80" t="str">
            <v>agi</v>
          </cell>
          <cell r="C80" t="str">
            <v>Ranged</v>
          </cell>
          <cell r="D80" t="str">
            <v>1.7</v>
          </cell>
          <cell r="E80" t="str">
            <v>100</v>
          </cell>
        </row>
        <row r="81">
          <cell r="A81" t="str">
            <v>Night Stalker</v>
          </cell>
          <cell r="B81" t="str">
            <v>str</v>
          </cell>
          <cell r="C81" t="str">
            <v>Melee</v>
          </cell>
          <cell r="D81" t="str">
            <v>1.7</v>
          </cell>
          <cell r="E81" t="str">
            <v>100</v>
          </cell>
        </row>
        <row r="82">
          <cell r="A82" t="str">
            <v>Broodmother</v>
          </cell>
          <cell r="B82" t="str">
            <v>agi</v>
          </cell>
          <cell r="C82" t="str">
            <v>Melee</v>
          </cell>
          <cell r="D82" t="str">
            <v>1.7</v>
          </cell>
          <cell r="E82" t="str">
            <v>100</v>
          </cell>
        </row>
        <row r="83">
          <cell r="A83" t="str">
            <v>Bounty Hunter</v>
          </cell>
          <cell r="B83" t="str">
            <v>agi</v>
          </cell>
          <cell r="C83" t="str">
            <v>Melee</v>
          </cell>
          <cell r="D83" t="str">
            <v>1.7</v>
          </cell>
          <cell r="E83" t="str">
            <v>100</v>
          </cell>
        </row>
        <row r="84">
          <cell r="A84" t="str">
            <v>Weaver</v>
          </cell>
          <cell r="B84" t="str">
            <v>agi</v>
          </cell>
          <cell r="C84" t="str">
            <v>Ranged</v>
          </cell>
          <cell r="D84" t="str">
            <v>1.8</v>
          </cell>
          <cell r="E84" t="str">
            <v>100</v>
          </cell>
        </row>
        <row r="85">
          <cell r="A85" t="str">
            <v>Jakiro</v>
          </cell>
          <cell r="B85" t="str">
            <v>int</v>
          </cell>
          <cell r="C85" t="str">
            <v>Ranged</v>
          </cell>
          <cell r="D85" t="str">
            <v>1.7</v>
          </cell>
          <cell r="E85" t="str">
            <v>100</v>
          </cell>
        </row>
        <row r="86">
          <cell r="A86" t="str">
            <v>Batrider</v>
          </cell>
          <cell r="B86" t="str">
            <v>int</v>
          </cell>
          <cell r="C86" t="str">
            <v>Ranged</v>
          </cell>
          <cell r="D86" t="str">
            <v>1.7</v>
          </cell>
          <cell r="E86" t="str">
            <v>100</v>
          </cell>
        </row>
        <row r="87">
          <cell r="A87" t="str">
            <v>Chen</v>
          </cell>
          <cell r="B87" t="str">
            <v>int</v>
          </cell>
          <cell r="C87" t="str">
            <v>Ranged</v>
          </cell>
          <cell r="D87" t="str">
            <v>1.7</v>
          </cell>
          <cell r="E87" t="str">
            <v>100</v>
          </cell>
        </row>
        <row r="88">
          <cell r="A88" t="str">
            <v>Spectre</v>
          </cell>
          <cell r="B88" t="str">
            <v>agi</v>
          </cell>
          <cell r="C88" t="str">
            <v>Melee</v>
          </cell>
          <cell r="D88" t="str">
            <v>1.7</v>
          </cell>
          <cell r="E88" t="str">
            <v>100</v>
          </cell>
        </row>
        <row r="89">
          <cell r="A89" t="str">
            <v>Ancient Apparition</v>
          </cell>
          <cell r="B89" t="str">
            <v>int</v>
          </cell>
          <cell r="C89" t="str">
            <v>Ranged</v>
          </cell>
          <cell r="D89" t="str">
            <v>1.7</v>
          </cell>
          <cell r="E89" t="str">
            <v>100</v>
          </cell>
        </row>
        <row r="90">
          <cell r="A90" t="str">
            <v>Doom</v>
          </cell>
          <cell r="B90" t="str">
            <v>str</v>
          </cell>
          <cell r="C90" t="str">
            <v>Melee</v>
          </cell>
          <cell r="D90" t="str">
            <v>1.9</v>
          </cell>
          <cell r="E90" t="str">
            <v>100</v>
          </cell>
        </row>
        <row r="91">
          <cell r="A91" t="str">
            <v>Earthshaker</v>
          </cell>
          <cell r="B91" t="str">
            <v>str</v>
          </cell>
          <cell r="C91" t="str">
            <v>Melee</v>
          </cell>
          <cell r="D91" t="str">
            <v>1.7</v>
          </cell>
          <cell r="E91" t="str">
            <v>100</v>
          </cell>
        </row>
        <row r="92">
          <cell r="A92" t="str">
            <v>Ursa</v>
          </cell>
          <cell r="B92" t="str">
            <v>agi</v>
          </cell>
          <cell r="C92" t="str">
            <v>Melee</v>
          </cell>
          <cell r="D92" t="str">
            <v>1.7</v>
          </cell>
          <cell r="E92" t="str">
            <v>100</v>
          </cell>
        </row>
        <row r="93">
          <cell r="A93" t="str">
            <v>Spirit Breaker</v>
          </cell>
          <cell r="B93" t="str">
            <v>str</v>
          </cell>
          <cell r="C93" t="str">
            <v>Melee</v>
          </cell>
          <cell r="D93" t="str">
            <v>1.9</v>
          </cell>
          <cell r="E93" t="str">
            <v>100</v>
          </cell>
        </row>
        <row r="94">
          <cell r="A94" t="str">
            <v>Gyrocopter</v>
          </cell>
          <cell r="B94" t="str">
            <v>agi</v>
          </cell>
          <cell r="C94" t="str">
            <v>Ranged</v>
          </cell>
          <cell r="D94" t="str">
            <v>1.7</v>
          </cell>
          <cell r="E94" t="str">
            <v>100</v>
          </cell>
        </row>
        <row r="95">
          <cell r="A95" t="str">
            <v>Alchemist</v>
          </cell>
          <cell r="B95" t="str">
            <v>str</v>
          </cell>
          <cell r="C95" t="str">
            <v>Melee</v>
          </cell>
          <cell r="D95" t="str">
            <v>1.7</v>
          </cell>
          <cell r="E95" t="str">
            <v>100</v>
          </cell>
        </row>
        <row r="96">
          <cell r="A96" t="str">
            <v>Invoker</v>
          </cell>
          <cell r="B96" t="str">
            <v>int</v>
          </cell>
          <cell r="C96" t="str">
            <v>Ranged</v>
          </cell>
          <cell r="D96" t="str">
            <v>1.7</v>
          </cell>
          <cell r="E96" t="str">
            <v>100</v>
          </cell>
        </row>
        <row r="97">
          <cell r="A97" t="str">
            <v>Silencer</v>
          </cell>
          <cell r="B97" t="str">
            <v>int</v>
          </cell>
          <cell r="C97" t="str">
            <v>Ranged</v>
          </cell>
          <cell r="D97" t="str">
            <v>1.7</v>
          </cell>
          <cell r="E97" t="str">
            <v>100</v>
          </cell>
        </row>
        <row r="98">
          <cell r="A98" t="str">
            <v>Outworld Devourer</v>
          </cell>
          <cell r="B98" t="str">
            <v>int</v>
          </cell>
          <cell r="C98" t="str">
            <v>Ranged</v>
          </cell>
          <cell r="D98" t="str">
            <v>1.9</v>
          </cell>
          <cell r="E98" t="str">
            <v>100</v>
          </cell>
        </row>
        <row r="99">
          <cell r="A99" t="str">
            <v>Lycan</v>
          </cell>
          <cell r="B99" t="str">
            <v>str</v>
          </cell>
          <cell r="C99" t="str">
            <v>Melee</v>
          </cell>
          <cell r="D99" t="str">
            <v>1.7</v>
          </cell>
          <cell r="E99" t="str">
            <v>100</v>
          </cell>
        </row>
        <row r="100">
          <cell r="A100" t="str">
            <v>Brewmaster</v>
          </cell>
          <cell r="B100" t="str">
            <v>str</v>
          </cell>
          <cell r="C100" t="str">
            <v>Melee</v>
          </cell>
          <cell r="D100" t="str">
            <v>1.7</v>
          </cell>
          <cell r="E100" t="str">
            <v>100</v>
          </cell>
        </row>
        <row r="101">
          <cell r="A101" t="str">
            <v>Shadow Demon</v>
          </cell>
          <cell r="B101" t="str">
            <v>int</v>
          </cell>
          <cell r="C101" t="str">
            <v>Ranged</v>
          </cell>
          <cell r="D101" t="str">
            <v>1.7</v>
          </cell>
          <cell r="E101" t="str">
            <v>100</v>
          </cell>
        </row>
        <row r="102">
          <cell r="A102" t="str">
            <v>Juggernaut</v>
          </cell>
          <cell r="B102" t="str">
            <v>agi</v>
          </cell>
          <cell r="C102" t="str">
            <v>Melee</v>
          </cell>
          <cell r="D102" t="str">
            <v>1.4</v>
          </cell>
          <cell r="E102" t="str">
            <v>100</v>
          </cell>
        </row>
        <row r="103">
          <cell r="A103" t="str">
            <v>Lone Druid</v>
          </cell>
          <cell r="B103" t="str">
            <v>agi</v>
          </cell>
          <cell r="C103" t="str">
            <v>Ranged</v>
          </cell>
          <cell r="D103" t="str">
            <v>1.6</v>
          </cell>
          <cell r="E103" t="str">
            <v>100</v>
          </cell>
        </row>
        <row r="104">
          <cell r="A104" t="str">
            <v>Chaos Knight</v>
          </cell>
          <cell r="B104" t="str">
            <v>str</v>
          </cell>
          <cell r="C104" t="str">
            <v>Melee</v>
          </cell>
          <cell r="D104" t="str">
            <v>1.7</v>
          </cell>
          <cell r="E104" t="str">
            <v>100</v>
          </cell>
        </row>
        <row r="105">
          <cell r="A105" t="str">
            <v>Meepo</v>
          </cell>
          <cell r="B105" t="str">
            <v>agi</v>
          </cell>
          <cell r="C105" t="str">
            <v>Melee</v>
          </cell>
          <cell r="D105" t="str">
            <v>1.7</v>
          </cell>
          <cell r="E105" t="str">
            <v>100</v>
          </cell>
        </row>
        <row r="106">
          <cell r="A106" t="str">
            <v>Treant Protector</v>
          </cell>
          <cell r="B106" t="str">
            <v>str</v>
          </cell>
          <cell r="C106" t="str">
            <v>Melee</v>
          </cell>
          <cell r="D106" t="str">
            <v>1.9</v>
          </cell>
          <cell r="E106" t="str">
            <v>100</v>
          </cell>
        </row>
        <row r="107">
          <cell r="A107" t="str">
            <v>Ogre Magi</v>
          </cell>
          <cell r="B107" t="str">
            <v>int</v>
          </cell>
          <cell r="C107" t="str">
            <v>Melee</v>
          </cell>
          <cell r="D107" t="str">
            <v>1.7</v>
          </cell>
          <cell r="E107" t="str">
            <v>100</v>
          </cell>
        </row>
        <row r="108">
          <cell r="A108" t="str">
            <v>Undying</v>
          </cell>
          <cell r="B108" t="str">
            <v>str</v>
          </cell>
          <cell r="C108" t="str">
            <v>Melee</v>
          </cell>
          <cell r="D108" t="str">
            <v>1.7</v>
          </cell>
          <cell r="E108" t="str">
            <v>100</v>
          </cell>
        </row>
        <row r="109">
          <cell r="A109" t="str">
            <v>Rubick</v>
          </cell>
          <cell r="B109" t="str">
            <v>int</v>
          </cell>
          <cell r="C109" t="str">
            <v>Ranged</v>
          </cell>
          <cell r="D109" t="str">
            <v>1.7</v>
          </cell>
          <cell r="E109" t="str">
            <v>100</v>
          </cell>
        </row>
        <row r="110">
          <cell r="A110" t="str">
            <v>Disruptor</v>
          </cell>
          <cell r="B110" t="str">
            <v>int</v>
          </cell>
          <cell r="C110" t="str">
            <v>Ranged</v>
          </cell>
          <cell r="D110" t="str">
            <v>1.7</v>
          </cell>
          <cell r="E110" t="str">
            <v>100</v>
          </cell>
        </row>
        <row r="111">
          <cell r="A111" t="str">
            <v>Nyx Assassin</v>
          </cell>
          <cell r="B111" t="str">
            <v>agi</v>
          </cell>
          <cell r="C111" t="str">
            <v>Melee</v>
          </cell>
          <cell r="D111" t="str">
            <v>1.7</v>
          </cell>
          <cell r="E111" t="str">
            <v>100</v>
          </cell>
        </row>
        <row r="112">
          <cell r="A112" t="str">
            <v>Naga Siren</v>
          </cell>
          <cell r="B112" t="str">
            <v>agi</v>
          </cell>
          <cell r="C112" t="str">
            <v>Melee</v>
          </cell>
          <cell r="D112" t="str">
            <v>1.7</v>
          </cell>
          <cell r="E112" t="str">
            <v>100</v>
          </cell>
        </row>
        <row r="113">
          <cell r="A113" t="str">
            <v>Mirana</v>
          </cell>
          <cell r="B113" t="str">
            <v>agi</v>
          </cell>
          <cell r="C113" t="str">
            <v>Ranged</v>
          </cell>
          <cell r="D113" t="str">
            <v>1.7</v>
          </cell>
          <cell r="E113" t="str">
            <v>100</v>
          </cell>
        </row>
        <row r="114">
          <cell r="A114" t="str">
            <v>Keeper of the Light</v>
          </cell>
          <cell r="B114" t="str">
            <v>int</v>
          </cell>
          <cell r="C114" t="str">
            <v>Ranged</v>
          </cell>
          <cell r="D114" t="str">
            <v>1.7</v>
          </cell>
          <cell r="E114" t="str">
            <v>100</v>
          </cell>
        </row>
        <row r="115">
          <cell r="A115" t="str">
            <v>Io</v>
          </cell>
          <cell r="B115" t="str">
            <v>str</v>
          </cell>
          <cell r="C115" t="str">
            <v>Ranged</v>
          </cell>
          <cell r="D115" t="str">
            <v>1.7</v>
          </cell>
          <cell r="E115" t="str">
            <v>100</v>
          </cell>
        </row>
        <row r="116">
          <cell r="A116" t="str">
            <v>Visage</v>
          </cell>
          <cell r="B116" t="str">
            <v>int</v>
          </cell>
          <cell r="C116" t="str">
            <v>Ranged</v>
          </cell>
          <cell r="D116" t="str">
            <v>1.7</v>
          </cell>
          <cell r="E116" t="str">
            <v>100</v>
          </cell>
        </row>
        <row r="117">
          <cell r="A117" t="str">
            <v>Slark</v>
          </cell>
          <cell r="B117" t="str">
            <v>agi</v>
          </cell>
          <cell r="C117" t="str">
            <v>Melee</v>
          </cell>
          <cell r="D117" t="str">
            <v>1.7</v>
          </cell>
          <cell r="E117" t="str">
            <v>100</v>
          </cell>
        </row>
        <row r="118">
          <cell r="A118" t="str">
            <v>Medusa</v>
          </cell>
          <cell r="B118" t="str">
            <v>agi</v>
          </cell>
          <cell r="C118" t="str">
            <v>Ranged</v>
          </cell>
          <cell r="D118" t="str">
            <v>1.7</v>
          </cell>
          <cell r="E118" t="str">
            <v>100</v>
          </cell>
        </row>
        <row r="119">
          <cell r="A119" t="str">
            <v>Troll Warlord</v>
          </cell>
          <cell r="B119" t="str">
            <v>agi</v>
          </cell>
          <cell r="C119" t="str">
            <v>Ranged</v>
          </cell>
          <cell r="D119" t="str">
            <v>1.7</v>
          </cell>
          <cell r="E119" t="str">
            <v>100</v>
          </cell>
        </row>
        <row r="120">
          <cell r="A120" t="str">
            <v>Centaur Warrunner</v>
          </cell>
          <cell r="B120" t="str">
            <v>str</v>
          </cell>
          <cell r="C120" t="str">
            <v>Melee</v>
          </cell>
          <cell r="D120" t="str">
            <v>1.7</v>
          </cell>
          <cell r="E120" t="str">
            <v>100</v>
          </cell>
        </row>
        <row r="121">
          <cell r="A121" t="str">
            <v>Magnus</v>
          </cell>
          <cell r="B121" t="str">
            <v>str</v>
          </cell>
          <cell r="C121" t="str">
            <v>Melee</v>
          </cell>
          <cell r="D121" t="str">
            <v>1.8</v>
          </cell>
          <cell r="E121" t="str">
            <v>100</v>
          </cell>
        </row>
        <row r="122">
          <cell r="A122" t="str">
            <v>Timbersaw</v>
          </cell>
          <cell r="B122" t="str">
            <v>str</v>
          </cell>
          <cell r="C122" t="str">
            <v>Melee</v>
          </cell>
          <cell r="D122" t="str">
            <v>1.7</v>
          </cell>
          <cell r="E122" t="str">
            <v>100</v>
          </cell>
        </row>
        <row r="123">
          <cell r="A123" t="str">
            <v>Bristleback</v>
          </cell>
          <cell r="B123" t="str">
            <v>str</v>
          </cell>
          <cell r="C123" t="str">
            <v>Melee</v>
          </cell>
          <cell r="D123" t="str">
            <v>1.8</v>
          </cell>
          <cell r="E123" t="str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B7EAF-80D3-4C40-BE24-D24C1BC88CFB}">
  <sheetPr codeName="Sheet1"/>
  <dimension ref="A1:AL167"/>
  <sheetViews>
    <sheetView tabSelected="1" zoomScaleNormal="100" workbookViewId="0">
      <selection activeCell="F12" sqref="F12"/>
    </sheetView>
  </sheetViews>
  <sheetFormatPr defaultRowHeight="15" x14ac:dyDescent="0.25"/>
  <cols>
    <col min="1" max="1" width="16.42578125" customWidth="1"/>
    <col min="9" max="9" width="10.5703125" customWidth="1"/>
    <col min="14" max="14" width="10.5703125" customWidth="1"/>
    <col min="19" max="19" width="11" customWidth="1"/>
  </cols>
  <sheetData>
    <row r="1" spans="1:38" x14ac:dyDescent="0.25">
      <c r="A1" s="4" t="s">
        <v>0</v>
      </c>
      <c r="B1" s="4">
        <v>200</v>
      </c>
      <c r="C1" s="4"/>
      <c r="D1" s="12"/>
      <c r="E1" s="3" t="s">
        <v>122</v>
      </c>
      <c r="F1" s="3"/>
      <c r="G1" s="12"/>
      <c r="H1" s="23" t="s">
        <v>150</v>
      </c>
      <c r="I1" s="23"/>
      <c r="J1" s="23" t="s">
        <v>151</v>
      </c>
      <c r="K1" s="12"/>
      <c r="L1" s="12"/>
      <c r="M1" s="12"/>
      <c r="N1" s="6" t="s">
        <v>16</v>
      </c>
      <c r="O1" s="6"/>
      <c r="P1" s="10" t="s">
        <v>14</v>
      </c>
      <c r="Q1" s="7" t="s">
        <v>15</v>
      </c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</row>
    <row r="2" spans="1:38" x14ac:dyDescent="0.25">
      <c r="A2" s="4" t="s">
        <v>12</v>
      </c>
      <c r="B2" s="4">
        <v>100</v>
      </c>
      <c r="C2" s="4"/>
      <c r="D2" s="12"/>
      <c r="E2" s="3">
        <v>1</v>
      </c>
      <c r="F2" s="3"/>
      <c r="G2" s="12"/>
      <c r="H2" s="12"/>
      <c r="I2" s="12"/>
      <c r="J2" s="12"/>
      <c r="K2" s="12"/>
      <c r="L2" s="12"/>
      <c r="M2" s="12"/>
      <c r="N2" s="6" t="s">
        <v>0</v>
      </c>
      <c r="O2" s="6">
        <f>(($B$1+1)*$B$12*($B$8+$B$2)*0.01/$B$7)  -  $H$10</f>
        <v>0.79491255961846718</v>
      </c>
      <c r="P2" s="11"/>
      <c r="Q2" s="8">
        <f>P2*$O$2</f>
        <v>0</v>
      </c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1:38" x14ac:dyDescent="0.25">
      <c r="A3" s="12"/>
      <c r="B3" s="12"/>
      <c r="C3" s="12"/>
      <c r="D3" s="12"/>
      <c r="E3" s="3" t="s">
        <v>123</v>
      </c>
      <c r="F3" s="3"/>
      <c r="G3" s="12"/>
      <c r="H3" s="12"/>
      <c r="I3" s="12"/>
      <c r="J3" s="12"/>
      <c r="K3" s="12"/>
      <c r="L3" s="12"/>
      <c r="M3" s="12"/>
      <c r="N3" s="6" t="s">
        <v>6</v>
      </c>
      <c r="O3" s="6">
        <f>(($B$8+$B$2 + 1)*0.01/$B$7)*$B$1*$B$12 - $H$10</f>
        <v>0.79491255961849561</v>
      </c>
      <c r="P3" s="11"/>
      <c r="Q3" s="8">
        <f>P3*$O$3</f>
        <v>0</v>
      </c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</row>
    <row r="4" spans="1:38" x14ac:dyDescent="0.25">
      <c r="A4" s="2" t="s">
        <v>8</v>
      </c>
      <c r="B4" s="5" t="s">
        <v>149</v>
      </c>
      <c r="C4" s="5"/>
      <c r="D4" s="12"/>
      <c r="E4" s="3">
        <v>0.06</v>
      </c>
      <c r="F4" s="3"/>
      <c r="G4" s="12"/>
      <c r="H4" s="12"/>
      <c r="I4" s="12"/>
      <c r="J4" s="12"/>
      <c r="K4" s="12"/>
      <c r="L4" s="12"/>
      <c r="M4" s="12"/>
      <c r="N4" s="6" t="s">
        <v>4</v>
      </c>
      <c r="O4" s="6">
        <f>IF($B$5="STR", 1*$O$2, 0)</f>
        <v>0</v>
      </c>
      <c r="P4" s="11">
        <v>0</v>
      </c>
      <c r="Q4" s="8">
        <f>P4*$O$4</f>
        <v>0</v>
      </c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</row>
    <row r="5" spans="1:38" x14ac:dyDescent="0.25">
      <c r="A5" s="1" t="s">
        <v>1</v>
      </c>
      <c r="B5" s="1" t="str">
        <f>UPPER(Heroes!B11)</f>
        <v>AGI</v>
      </c>
      <c r="C5" s="1"/>
      <c r="D5" s="12"/>
      <c r="E5" s="12"/>
      <c r="F5" s="12"/>
      <c r="G5" s="12"/>
      <c r="H5" s="12"/>
      <c r="I5" s="12"/>
      <c r="J5" s="12"/>
      <c r="K5" s="12"/>
      <c r="L5" s="12"/>
      <c r="M5" s="12"/>
      <c r="N5" s="6" t="s">
        <v>3</v>
      </c>
      <c r="O5" s="6">
        <f>IF($B$5="AGI", 1*$O$2 +1* $O$3, $O$3)</f>
        <v>1.5898251192369628</v>
      </c>
      <c r="P5" s="11">
        <v>0</v>
      </c>
      <c r="Q5" s="8">
        <f>P5*$O$5</f>
        <v>0</v>
      </c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</row>
    <row r="6" spans="1:38" x14ac:dyDescent="0.25">
      <c r="A6" s="1" t="s">
        <v>148</v>
      </c>
      <c r="B6" s="1" t="str">
        <f>Heroes!C11</f>
        <v>Ranged</v>
      </c>
      <c r="C6" s="1" t="b">
        <f>OR(OR('Dota 2'!$B$6="Ranged", 'Dota 2'!$B$6="RANGED"), 'Dota 2'!$B$6="ranged")</f>
        <v>1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6" t="s">
        <v>5</v>
      </c>
      <c r="O6" s="6">
        <f>IF($B$5="INT", 1*$O$2, 0)</f>
        <v>0</v>
      </c>
      <c r="P6" s="11">
        <v>0</v>
      </c>
      <c r="Q6" s="8">
        <f>P6*$O$6</f>
        <v>0</v>
      </c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</row>
    <row r="7" spans="1:38" x14ac:dyDescent="0.25">
      <c r="A7" s="1" t="s">
        <v>9</v>
      </c>
      <c r="B7" s="1" t="str">
        <f>Heroes!D11</f>
        <v>1.7</v>
      </c>
      <c r="C7" s="1">
        <f>1/$B$7</f>
        <v>0.58823529411764708</v>
      </c>
      <c r="D7" s="12"/>
      <c r="E7" s="12"/>
      <c r="F7" s="12"/>
      <c r="G7" s="12"/>
      <c r="H7" s="2" t="s">
        <v>11</v>
      </c>
      <c r="I7" s="2"/>
      <c r="J7" s="2"/>
      <c r="K7" s="12"/>
      <c r="L7" s="12"/>
      <c r="M7" s="12"/>
      <c r="N7" s="12"/>
      <c r="O7" s="12"/>
      <c r="P7" s="12"/>
      <c r="Q7" s="9">
        <f>SUM(Q2:Q6)</f>
        <v>0</v>
      </c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</row>
    <row r="8" spans="1:38" x14ac:dyDescent="0.25">
      <c r="A8" s="1" t="s">
        <v>13</v>
      </c>
      <c r="B8" s="1" t="str">
        <f>Heroes!E11</f>
        <v>100</v>
      </c>
      <c r="C8" s="1"/>
      <c r="D8" s="12"/>
      <c r="E8" s="12"/>
      <c r="F8" s="12"/>
      <c r="G8" s="12"/>
      <c r="H8" s="2">
        <f>($B$8+$B$2)*0.01/$B$7</f>
        <v>1.1764705882352942</v>
      </c>
      <c r="I8" s="2"/>
      <c r="J8" s="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</row>
    <row r="9" spans="1:38" x14ac:dyDescent="0.25">
      <c r="A9" s="3" t="s">
        <v>36</v>
      </c>
      <c r="B9" s="3">
        <v>0</v>
      </c>
      <c r="C9" s="3"/>
      <c r="D9" s="12"/>
      <c r="E9" s="12"/>
      <c r="F9" s="12"/>
      <c r="G9" s="12"/>
      <c r="H9" s="2" t="s">
        <v>10</v>
      </c>
      <c r="I9" s="2"/>
      <c r="J9" s="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</row>
    <row r="10" spans="1:38" x14ac:dyDescent="0.25">
      <c r="A10" s="3" t="s">
        <v>2</v>
      </c>
      <c r="B10" s="3">
        <v>8</v>
      </c>
      <c r="C10" s="3">
        <f>B10-B9</f>
        <v>8</v>
      </c>
      <c r="D10" s="12"/>
      <c r="E10" s="12"/>
      <c r="F10" s="12"/>
      <c r="G10" s="12"/>
      <c r="H10" s="2">
        <f>($B$1*$B$12*($B$8+$B$2)*0.01/$B$7)</f>
        <v>158.98251192368838</v>
      </c>
      <c r="I10" s="2"/>
      <c r="J10" s="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</row>
    <row r="11" spans="1:38" x14ac:dyDescent="0.25">
      <c r="A11" s="3" t="s">
        <v>39</v>
      </c>
      <c r="B11" s="14">
        <v>0.25</v>
      </c>
      <c r="C11" s="3"/>
      <c r="D11" s="12"/>
      <c r="E11" s="12"/>
      <c r="F11" s="12"/>
      <c r="G11" s="12"/>
      <c r="H11" s="2"/>
      <c r="I11" s="2"/>
      <c r="J11" s="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</row>
    <row r="12" spans="1:38" x14ac:dyDescent="0.25">
      <c r="A12" s="3" t="s">
        <v>124</v>
      </c>
      <c r="B12" s="3">
        <f>1-(E4*C10)/(E2+E4*ABS(C10))</f>
        <v>0.67567567567567566</v>
      </c>
      <c r="C12" s="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</row>
    <row r="13" spans="1:38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</row>
    <row r="14" spans="1:38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</row>
    <row r="15" spans="1:38" x14ac:dyDescent="0.25">
      <c r="A15" s="12"/>
      <c r="B15" s="12"/>
      <c r="C15" s="12"/>
      <c r="D15" s="12"/>
      <c r="E15" s="12"/>
      <c r="F15" s="1" t="s">
        <v>44</v>
      </c>
      <c r="G15" s="1"/>
      <c r="H15" s="1"/>
      <c r="I15" s="1"/>
      <c r="J15" s="1"/>
      <c r="K15" s="1" t="s">
        <v>42</v>
      </c>
      <c r="L15" s="1"/>
      <c r="M15" s="1"/>
      <c r="N15" s="1"/>
      <c r="O15" s="1"/>
      <c r="P15" s="1" t="s">
        <v>43</v>
      </c>
      <c r="Q15" s="1"/>
      <c r="R15" s="1"/>
      <c r="S15" s="1"/>
      <c r="T15" s="1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</row>
    <row r="16" spans="1:38" x14ac:dyDescent="0.25">
      <c r="A16" s="12"/>
      <c r="B16" s="12"/>
      <c r="C16" s="12"/>
      <c r="D16" s="12"/>
      <c r="E16" s="12"/>
      <c r="F16" s="1"/>
      <c r="G16" s="1"/>
      <c r="H16" s="1" t="s">
        <v>40</v>
      </c>
      <c r="I16" s="1" t="s">
        <v>41</v>
      </c>
      <c r="J16" s="1"/>
      <c r="K16" s="1"/>
      <c r="L16" s="1"/>
      <c r="M16" s="1" t="s">
        <v>40</v>
      </c>
      <c r="N16" s="1" t="s">
        <v>41</v>
      </c>
      <c r="O16" s="1"/>
      <c r="P16" s="1"/>
      <c r="Q16" s="1"/>
      <c r="R16" s="1" t="s">
        <v>40</v>
      </c>
      <c r="S16" s="1" t="s">
        <v>41</v>
      </c>
      <c r="T16" s="1" t="s">
        <v>52</v>
      </c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</row>
    <row r="17" spans="1:38" x14ac:dyDescent="0.25">
      <c r="A17" s="12"/>
      <c r="B17" s="12"/>
      <c r="C17" s="12"/>
      <c r="D17" s="12"/>
      <c r="E17" s="12"/>
      <c r="F17" s="6" t="str">
        <f>Items!$A15</f>
        <v>Abyssal Blade</v>
      </c>
      <c r="G17" s="15"/>
      <c r="H17" s="13">
        <f>Items!AE15</f>
        <v>30.461049284579325</v>
      </c>
      <c r="I17" s="13">
        <f>Items!AF15</f>
        <v>4.8737678855326916E-3</v>
      </c>
      <c r="J17" s="1"/>
      <c r="K17" s="6" t="s">
        <v>31</v>
      </c>
      <c r="L17" s="15"/>
      <c r="M17" s="13">
        <v>278.21939586646351</v>
      </c>
      <c r="N17" s="13">
        <v>4.6759562330498071E-2</v>
      </c>
      <c r="O17" s="1"/>
      <c r="P17" s="20" t="s">
        <v>130</v>
      </c>
      <c r="Q17" s="21"/>
      <c r="R17" s="13">
        <v>9.5389507154217767</v>
      </c>
      <c r="S17" s="13">
        <v>6.3171859042528325E-2</v>
      </c>
      <c r="T17" s="1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</row>
    <row r="18" spans="1:38" x14ac:dyDescent="0.25">
      <c r="A18" s="12"/>
      <c r="B18" s="12"/>
      <c r="C18" s="12"/>
      <c r="D18" s="12"/>
      <c r="E18" s="12"/>
      <c r="F18" s="6" t="str">
        <f>Items!$A16</f>
        <v>Assassin's Dagger</v>
      </c>
      <c r="G18" s="15"/>
      <c r="H18" s="13">
        <f>Items!AE16</f>
        <v>31.796502384738972</v>
      </c>
      <c r="I18" s="13">
        <f>Items!AF16</f>
        <v>0</v>
      </c>
      <c r="J18" s="1"/>
      <c r="K18" s="6" t="s">
        <v>20</v>
      </c>
      <c r="L18" s="15"/>
      <c r="M18" s="13">
        <v>177.26550079491477</v>
      </c>
      <c r="N18" s="13">
        <v>3.4420485591245588E-2</v>
      </c>
      <c r="O18" s="1"/>
      <c r="P18" s="6" t="s">
        <v>19</v>
      </c>
      <c r="Q18" s="15"/>
      <c r="R18" s="13">
        <v>101.74880763116137</v>
      </c>
      <c r="S18" s="13">
        <v>5.2178875708287879E-2</v>
      </c>
      <c r="T18" s="1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</row>
    <row r="19" spans="1:38" x14ac:dyDescent="0.25">
      <c r="A19" s="12"/>
      <c r="B19" s="12"/>
      <c r="C19" s="12"/>
      <c r="D19" s="12"/>
      <c r="E19" s="12"/>
      <c r="F19" s="6" t="str">
        <f>Items!$A17</f>
        <v>Assault Cuirass</v>
      </c>
      <c r="G19" s="15"/>
      <c r="H19" s="13">
        <f>Items!AE17</f>
        <v>23.847376788554868</v>
      </c>
      <c r="I19" s="13">
        <f>Items!AF17</f>
        <v>4.6531466904497307E-3</v>
      </c>
      <c r="J19" s="1"/>
      <c r="K19" s="20" t="s">
        <v>72</v>
      </c>
      <c r="L19" s="21"/>
      <c r="M19" s="13">
        <v>149.21644333409193</v>
      </c>
      <c r="N19" s="13">
        <v>0</v>
      </c>
      <c r="O19" s="1"/>
      <c r="P19" s="6" t="s">
        <v>31</v>
      </c>
      <c r="Q19" s="15"/>
      <c r="R19" s="13">
        <v>278.21939586646351</v>
      </c>
      <c r="S19" s="13">
        <v>4.6759562330498071E-2</v>
      </c>
      <c r="T19" s="1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</row>
    <row r="20" spans="1:38" x14ac:dyDescent="0.25">
      <c r="A20" s="12"/>
      <c r="B20" s="12"/>
      <c r="C20" s="12"/>
      <c r="D20" s="12"/>
      <c r="E20" s="12"/>
      <c r="F20" s="6" t="str">
        <f>Items!$A18</f>
        <v>Ballista</v>
      </c>
      <c r="G20" s="15"/>
      <c r="H20" s="13">
        <f>Items!AE18</f>
        <v>39.745627980923359</v>
      </c>
      <c r="I20" s="13">
        <f>Items!AF18</f>
        <v>0</v>
      </c>
      <c r="J20" s="1"/>
      <c r="K20" s="6" t="s">
        <v>38</v>
      </c>
      <c r="L20" s="15"/>
      <c r="M20" s="13">
        <v>145.46899841017807</v>
      </c>
      <c r="N20" s="13">
        <v>2.6691559341317079E-2</v>
      </c>
      <c r="O20" s="1"/>
      <c r="P20" s="6" t="s">
        <v>112</v>
      </c>
      <c r="Q20" s="15"/>
      <c r="R20" s="13">
        <v>14.027868699148991</v>
      </c>
      <c r="S20" s="13">
        <v>4.6759562330496635E-2</v>
      </c>
      <c r="T20" s="1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</row>
    <row r="21" spans="1:38" x14ac:dyDescent="0.25">
      <c r="A21" s="12"/>
      <c r="B21" s="12"/>
      <c r="C21" s="12"/>
      <c r="D21" s="12"/>
      <c r="E21" s="12"/>
      <c r="F21" s="6" t="str">
        <f>Items!$A19</f>
        <v>Skull Basher</v>
      </c>
      <c r="G21" s="15"/>
      <c r="H21" s="13">
        <f>Items!AE19</f>
        <v>28.696343402226386</v>
      </c>
      <c r="I21" s="13">
        <f>Items!AF19</f>
        <v>9.9813368355570042E-3</v>
      </c>
      <c r="J21" s="1"/>
      <c r="K21" s="6" t="s">
        <v>27</v>
      </c>
      <c r="L21" s="15"/>
      <c r="M21" s="13">
        <v>122.36883942766733</v>
      </c>
      <c r="N21" s="13">
        <v>2.1851578469226307E-2</v>
      </c>
      <c r="O21" s="1"/>
      <c r="P21" s="20" t="s">
        <v>83</v>
      </c>
      <c r="Q21" s="21"/>
      <c r="R21" s="13">
        <v>11.923688394277434</v>
      </c>
      <c r="S21" s="13">
        <v>3.9613582705240645E-2</v>
      </c>
      <c r="T21" s="1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</row>
    <row r="22" spans="1:38" x14ac:dyDescent="0.25">
      <c r="A22" s="12"/>
      <c r="B22" s="12"/>
      <c r="C22" s="12"/>
      <c r="D22" s="12"/>
      <c r="E22" s="12"/>
      <c r="F22" s="6" t="str">
        <f>Items!$A20</f>
        <v>Belt of Strength</v>
      </c>
      <c r="G22" s="15"/>
      <c r="H22" s="13">
        <f>Items!AE20</f>
        <v>0</v>
      </c>
      <c r="I22" s="13">
        <f>Items!AF20</f>
        <v>0</v>
      </c>
      <c r="J22" s="1"/>
      <c r="K22" s="6" t="s">
        <v>35</v>
      </c>
      <c r="L22" s="15"/>
      <c r="M22" s="13">
        <v>116.97933227345334</v>
      </c>
      <c r="N22" s="13">
        <v>2.351343362280469E-2</v>
      </c>
      <c r="O22" s="1"/>
      <c r="P22" s="6" t="s">
        <v>33</v>
      </c>
      <c r="Q22" s="15"/>
      <c r="R22" s="13">
        <v>15.898251192369912</v>
      </c>
      <c r="S22" s="13">
        <v>3.5329447094155357E-2</v>
      </c>
      <c r="T22" s="1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</row>
    <row r="23" spans="1:38" x14ac:dyDescent="0.25">
      <c r="A23" s="12"/>
      <c r="B23" s="12"/>
      <c r="C23" s="12"/>
      <c r="D23" s="12"/>
      <c r="E23" s="12"/>
      <c r="F23" s="6" t="str">
        <f>Items!$A21</f>
        <v>Battle Fury</v>
      </c>
      <c r="G23" s="15"/>
      <c r="H23" s="13">
        <f>Items!AE21</f>
        <v>47.694753577108031</v>
      </c>
      <c r="I23" s="13">
        <f>Items!AF21</f>
        <v>1.163286672612391E-2</v>
      </c>
      <c r="J23" s="1"/>
      <c r="K23" s="6" t="s">
        <v>89</v>
      </c>
      <c r="L23" s="15"/>
      <c r="M23" s="13">
        <v>111.28775834658938</v>
      </c>
      <c r="N23" s="13">
        <v>2.7821939586647346E-2</v>
      </c>
      <c r="O23" s="1"/>
      <c r="P23" s="6" t="s">
        <v>20</v>
      </c>
      <c r="Q23" s="15"/>
      <c r="R23" s="13">
        <v>177.26550079491477</v>
      </c>
      <c r="S23" s="13">
        <v>3.4420485591245588E-2</v>
      </c>
      <c r="T23" s="1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</row>
    <row r="24" spans="1:38" x14ac:dyDescent="0.25">
      <c r="A24" s="12"/>
      <c r="B24" s="12"/>
      <c r="C24" s="12"/>
      <c r="D24" s="12"/>
      <c r="E24" s="12"/>
      <c r="F24" s="6" t="str">
        <f>Items!$A22</f>
        <v>Black King Bar</v>
      </c>
      <c r="G24" s="15"/>
      <c r="H24" s="13">
        <f>Items!AE22</f>
        <v>19.077901430843212</v>
      </c>
      <c r="I24" s="13">
        <f>Items!AF22</f>
        <v>4.7105929458872127E-3</v>
      </c>
      <c r="J24" s="1"/>
      <c r="K24" s="6" t="s">
        <v>19</v>
      </c>
      <c r="L24" s="15"/>
      <c r="M24" s="13">
        <v>101.74880763116137</v>
      </c>
      <c r="N24" s="13">
        <v>5.2178875708287879E-2</v>
      </c>
      <c r="O24" s="1"/>
      <c r="P24" s="6" t="s">
        <v>105</v>
      </c>
      <c r="Q24" s="15"/>
      <c r="R24" s="13">
        <v>4.7694753577108884</v>
      </c>
      <c r="S24" s="13">
        <v>3.4067681126506343E-2</v>
      </c>
      <c r="T24" s="1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</row>
    <row r="25" spans="1:38" x14ac:dyDescent="0.25">
      <c r="A25" s="12"/>
      <c r="B25" s="12"/>
      <c r="C25" s="12"/>
      <c r="D25" s="12"/>
      <c r="E25" s="12"/>
      <c r="F25" s="6" t="str">
        <f>Items!$A23</f>
        <v>Blade Mail</v>
      </c>
      <c r="G25" s="15"/>
      <c r="H25" s="13">
        <f>Items!AE23</f>
        <v>22.257551669317081</v>
      </c>
      <c r="I25" s="13">
        <f>Items!AF23</f>
        <v>1.0598834128246229E-2</v>
      </c>
      <c r="J25" s="1"/>
      <c r="K25" s="6" t="s">
        <v>30</v>
      </c>
      <c r="L25" s="15"/>
      <c r="M25" s="13">
        <v>99.364069952310246</v>
      </c>
      <c r="N25" s="13">
        <v>1.9972677377348792E-2</v>
      </c>
      <c r="O25" s="1"/>
      <c r="P25" s="6" t="s">
        <v>126</v>
      </c>
      <c r="Q25" s="15"/>
      <c r="R25" s="13">
        <v>1.5898251192369628</v>
      </c>
      <c r="S25" s="13">
        <v>3.1796502384739259E-2</v>
      </c>
      <c r="T25" s="1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</row>
    <row r="26" spans="1:38" x14ac:dyDescent="0.25">
      <c r="A26" s="12"/>
      <c r="B26" s="12"/>
      <c r="C26" s="12"/>
      <c r="D26" s="12"/>
      <c r="E26" s="12"/>
      <c r="F26" s="6" t="str">
        <f>Items!$A24</f>
        <v>Blade of Alacrity</v>
      </c>
      <c r="G26" s="15"/>
      <c r="H26" s="13">
        <f>Items!AE24</f>
        <v>15.898251192369628</v>
      </c>
      <c r="I26" s="13">
        <f>Items!AF24</f>
        <v>1.5898251192369629E-2</v>
      </c>
      <c r="J26" s="1"/>
      <c r="K26" s="6" t="s">
        <v>79</v>
      </c>
      <c r="L26" s="15"/>
      <c r="M26" s="13">
        <v>88.457869634342075</v>
      </c>
      <c r="N26" s="13">
        <v>1.4383393436478386E-2</v>
      </c>
      <c r="O26" s="1"/>
      <c r="P26" s="6" t="s">
        <v>65</v>
      </c>
      <c r="Q26" s="15"/>
      <c r="R26" s="13">
        <v>27.821939586647346</v>
      </c>
      <c r="S26" s="13">
        <v>2.7821939586647346E-2</v>
      </c>
      <c r="T26" s="1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</row>
    <row r="27" spans="1:38" x14ac:dyDescent="0.25">
      <c r="A27" s="12"/>
      <c r="B27" s="12"/>
      <c r="C27" s="12"/>
      <c r="D27" s="12"/>
      <c r="E27" s="12"/>
      <c r="F27" s="6" t="str">
        <f>Items!$A25</f>
        <v>Blades of Attack</v>
      </c>
      <c r="G27" s="15"/>
      <c r="H27" s="13">
        <f>Items!AE25</f>
        <v>7.1542130365662047</v>
      </c>
      <c r="I27" s="13">
        <f>Items!AF25</f>
        <v>1.5898251192369345E-2</v>
      </c>
      <c r="J27" s="1"/>
      <c r="K27" s="20" t="s">
        <v>107</v>
      </c>
      <c r="L27" s="21"/>
      <c r="M27" s="13">
        <v>71.542130365663752</v>
      </c>
      <c r="N27" s="13">
        <v>0</v>
      </c>
      <c r="O27" s="1"/>
      <c r="P27" s="6" t="s">
        <v>89</v>
      </c>
      <c r="Q27" s="15"/>
      <c r="R27" s="13">
        <v>111.28775834658938</v>
      </c>
      <c r="S27" s="13">
        <v>2.7821939586647346E-2</v>
      </c>
      <c r="T27" s="1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1:38" x14ac:dyDescent="0.25">
      <c r="A28" s="12"/>
      <c r="B28" s="12"/>
      <c r="C28" s="12"/>
      <c r="D28" s="12"/>
      <c r="E28" s="12"/>
      <c r="F28" s="6" t="str">
        <f>Items!$A26</f>
        <v>Blight Stone</v>
      </c>
      <c r="G28" s="15"/>
      <c r="H28" s="13">
        <f>Items!AE26</f>
        <v>14.027868699148991</v>
      </c>
      <c r="I28" s="13">
        <f>Items!AF26</f>
        <v>4.6759562330496635E-2</v>
      </c>
      <c r="J28" s="1"/>
      <c r="K28" s="6" t="s">
        <v>29</v>
      </c>
      <c r="L28" s="15"/>
      <c r="M28" s="13">
        <v>63.593004769477375</v>
      </c>
      <c r="N28" s="13">
        <v>1.345883698824918E-2</v>
      </c>
      <c r="O28" s="1"/>
      <c r="P28" s="6" t="s">
        <v>38</v>
      </c>
      <c r="Q28" s="15"/>
      <c r="R28" s="13">
        <v>145.46899841017807</v>
      </c>
      <c r="S28" s="13">
        <v>2.6691559341317079E-2</v>
      </c>
      <c r="T28" s="1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</row>
    <row r="29" spans="1:38" x14ac:dyDescent="0.25">
      <c r="A29" s="12"/>
      <c r="B29" s="12"/>
      <c r="C29" s="12"/>
      <c r="D29" s="12"/>
      <c r="E29" s="12"/>
      <c r="F29" s="6" t="str">
        <f>Items!$A27</f>
        <v>Blitz Knuckles</v>
      </c>
      <c r="G29" s="15"/>
      <c r="H29" s="13">
        <f>Items!AE27</f>
        <v>27.821939586647346</v>
      </c>
      <c r="I29" s="13">
        <f>Items!AF27</f>
        <v>2.7821939586647346E-2</v>
      </c>
      <c r="J29" s="1"/>
      <c r="K29" s="6" t="s">
        <v>26</v>
      </c>
      <c r="L29" s="15"/>
      <c r="M29" s="13">
        <v>56.13672496025498</v>
      </c>
      <c r="N29" s="13">
        <v>2.0791379614909251E-2</v>
      </c>
      <c r="O29" s="1"/>
      <c r="P29" s="6" t="s">
        <v>81</v>
      </c>
      <c r="Q29" s="15"/>
      <c r="R29" s="13">
        <v>47.694753577109736</v>
      </c>
      <c r="S29" s="13">
        <v>2.3847376788554867E-2</v>
      </c>
      <c r="T29" s="1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</row>
    <row r="30" spans="1:38" x14ac:dyDescent="0.25">
      <c r="A30" s="12"/>
      <c r="B30" s="12"/>
      <c r="C30" s="12"/>
      <c r="D30" s="12"/>
      <c r="E30" s="12"/>
      <c r="F30" s="6" t="str">
        <f>Items!$A28</f>
        <v>Band of Elvenskin</v>
      </c>
      <c r="G30" s="15"/>
      <c r="H30" s="13">
        <f>Items!AE28</f>
        <v>9.5389507154217767</v>
      </c>
      <c r="I30" s="13">
        <f>Items!AF28</f>
        <v>2.1197668256492837E-2</v>
      </c>
      <c r="J30" s="1"/>
      <c r="K30" s="6" t="s">
        <v>84</v>
      </c>
      <c r="L30" s="15"/>
      <c r="M30" s="13">
        <v>50.87440381558298</v>
      </c>
      <c r="N30" s="13">
        <v>1.1059653003387604E-2</v>
      </c>
      <c r="O30" s="1"/>
      <c r="P30" s="6" t="s">
        <v>141</v>
      </c>
      <c r="Q30" s="15"/>
      <c r="R30" s="13">
        <v>22.01296318943379</v>
      </c>
      <c r="S30" s="13">
        <v>2.3797798042631126E-2</v>
      </c>
      <c r="T30" s="1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</row>
    <row r="31" spans="1:38" x14ac:dyDescent="0.25">
      <c r="A31" s="12"/>
      <c r="B31" s="12"/>
      <c r="C31" s="12"/>
      <c r="D31" s="12"/>
      <c r="E31" s="12"/>
      <c r="F31" s="6" t="str">
        <f>Items!$A29</f>
        <v>Iron Branch</v>
      </c>
      <c r="G31" s="15"/>
      <c r="H31" s="13">
        <f>Items!AE29</f>
        <v>1.5898251192369628</v>
      </c>
      <c r="I31" s="13">
        <f>Items!AF29</f>
        <v>3.1796502384739259E-2</v>
      </c>
      <c r="J31" s="1"/>
      <c r="K31" s="6" t="s">
        <v>81</v>
      </c>
      <c r="L31" s="15"/>
      <c r="M31" s="13">
        <v>47.694753577109736</v>
      </c>
      <c r="N31" s="13">
        <v>2.3847376788554867E-2</v>
      </c>
      <c r="O31" s="1"/>
      <c r="P31" s="6" t="s">
        <v>35</v>
      </c>
      <c r="Q31" s="15"/>
      <c r="R31" s="13">
        <v>116.97933227345334</v>
      </c>
      <c r="S31" s="13">
        <v>2.351343362280469E-2</v>
      </c>
      <c r="T31" s="1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</row>
    <row r="32" spans="1:38" x14ac:dyDescent="0.25">
      <c r="A32" s="12"/>
      <c r="B32" s="12"/>
      <c r="C32" s="12"/>
      <c r="D32" s="12"/>
      <c r="E32" s="12"/>
      <c r="F32" s="6" t="str">
        <f>Items!$A30</f>
        <v>Broadsword</v>
      </c>
      <c r="G32" s="15"/>
      <c r="H32" s="13">
        <f>Items!AE30</f>
        <v>11.923688394277008</v>
      </c>
      <c r="I32" s="13">
        <f>Items!AF30</f>
        <v>1.1923688394277009E-2</v>
      </c>
      <c r="J32" s="1"/>
      <c r="K32" s="6" t="s">
        <v>60</v>
      </c>
      <c r="L32" s="15"/>
      <c r="M32" s="13">
        <v>47.694753577108031</v>
      </c>
      <c r="N32" s="13">
        <v>1.163286672612391E-2</v>
      </c>
      <c r="O32" s="1"/>
      <c r="P32" s="6" t="s">
        <v>75</v>
      </c>
      <c r="Q32" s="15"/>
      <c r="R32" s="13">
        <v>1.5898251192369344</v>
      </c>
      <c r="S32" s="13">
        <v>2.2711787417670493E-2</v>
      </c>
      <c r="T32" s="1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</row>
    <row r="33" spans="1:38" x14ac:dyDescent="0.25">
      <c r="A33" s="12"/>
      <c r="B33" s="12"/>
      <c r="C33" s="12"/>
      <c r="D33" s="12"/>
      <c r="E33" s="12"/>
      <c r="F33" s="6" t="str">
        <f>Items!$A31</f>
        <v>Butterfly</v>
      </c>
      <c r="G33" s="15"/>
      <c r="H33" s="13">
        <f>Items!AE31</f>
        <v>99.364069952310246</v>
      </c>
      <c r="I33" s="13">
        <f>Items!AF31</f>
        <v>1.9972677377348792E-2</v>
      </c>
      <c r="J33" s="1"/>
      <c r="K33" s="6" t="s">
        <v>100</v>
      </c>
      <c r="L33" s="15"/>
      <c r="M33" s="13">
        <v>47.694753577108031</v>
      </c>
      <c r="N33" s="13">
        <v>1.2718600953895475E-2</v>
      </c>
      <c r="O33" s="1"/>
      <c r="P33" s="6" t="s">
        <v>27</v>
      </c>
      <c r="Q33" s="15"/>
      <c r="R33" s="13">
        <v>122.36883942766733</v>
      </c>
      <c r="S33" s="13">
        <v>2.1851578469226307E-2</v>
      </c>
      <c r="T33" s="1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</row>
    <row r="34" spans="1:38" x14ac:dyDescent="0.25">
      <c r="A34" s="12"/>
      <c r="B34" s="12"/>
      <c r="C34" s="12"/>
      <c r="D34" s="12"/>
      <c r="E34" s="12"/>
      <c r="F34" s="6" t="str">
        <f>Items!$A32</f>
        <v>Circlet</v>
      </c>
      <c r="G34" s="15"/>
      <c r="H34" s="13">
        <f>Items!AE32</f>
        <v>3.1796502384739256</v>
      </c>
      <c r="I34" s="13">
        <f>Items!AF32</f>
        <v>2.0513872506283389E-2</v>
      </c>
      <c r="J34" s="1"/>
      <c r="K34" s="6" t="s">
        <v>17</v>
      </c>
      <c r="L34" s="15"/>
      <c r="M34" s="13">
        <v>43.72019077901669</v>
      </c>
      <c r="N34" s="13">
        <v>1.4573396926338897E-2</v>
      </c>
      <c r="O34" s="1"/>
      <c r="P34" s="6" t="s">
        <v>66</v>
      </c>
      <c r="Q34" s="15"/>
      <c r="R34" s="13">
        <v>9.5389507154217767</v>
      </c>
      <c r="S34" s="13">
        <v>2.1197668256492837E-2</v>
      </c>
      <c r="T34" s="1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</row>
    <row r="35" spans="1:38" x14ac:dyDescent="0.25">
      <c r="A35" s="12"/>
      <c r="B35" s="12"/>
      <c r="C35" s="12"/>
      <c r="D35" s="12"/>
      <c r="E35" s="12"/>
      <c r="F35" s="6" t="str">
        <f>Items!$A33</f>
        <v>Claymore</v>
      </c>
      <c r="G35" s="15"/>
      <c r="H35" s="13">
        <f>Items!AE33</f>
        <v>15.898251192369344</v>
      </c>
      <c r="I35" s="13">
        <f>Items!AF33</f>
        <v>1.1776482364718033E-2</v>
      </c>
      <c r="J35" s="1"/>
      <c r="K35" s="6" t="s">
        <v>73</v>
      </c>
      <c r="L35" s="15"/>
      <c r="M35" s="13">
        <v>39.74562798092407</v>
      </c>
      <c r="N35" s="13">
        <v>1.4194867136044311E-2</v>
      </c>
      <c r="O35" s="1"/>
      <c r="P35" s="6" t="s">
        <v>26</v>
      </c>
      <c r="Q35" s="15"/>
      <c r="R35" s="13">
        <v>56.13672496025498</v>
      </c>
      <c r="S35" s="13">
        <v>2.0791379614909251E-2</v>
      </c>
      <c r="T35" s="1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</row>
    <row r="36" spans="1:38" x14ac:dyDescent="0.25">
      <c r="A36" s="12"/>
      <c r="B36" s="12"/>
      <c r="C36" s="12"/>
      <c r="D36" s="12"/>
      <c r="E36" s="12"/>
      <c r="F36" s="6" t="str">
        <f>Items!$A34</f>
        <v>Crown</v>
      </c>
      <c r="G36" s="15"/>
      <c r="H36" s="13">
        <f>Items!AE34</f>
        <v>6.3593004769478512</v>
      </c>
      <c r="I36" s="13">
        <f>Items!AF34</f>
        <v>1.4131778837661892E-2</v>
      </c>
      <c r="J36" s="1"/>
      <c r="K36" s="20" t="s">
        <v>58</v>
      </c>
      <c r="L36" s="21"/>
      <c r="M36" s="13">
        <v>39.745627980923359</v>
      </c>
      <c r="N36" s="13">
        <v>0</v>
      </c>
      <c r="O36" s="1"/>
      <c r="P36" s="6" t="s">
        <v>127</v>
      </c>
      <c r="Q36" s="15"/>
      <c r="R36" s="13">
        <v>3.1796502384739256</v>
      </c>
      <c r="S36" s="13">
        <v>2.0513872506283389E-2</v>
      </c>
      <c r="T36" s="1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</row>
    <row r="37" spans="1:38" x14ac:dyDescent="0.25">
      <c r="A37" s="12"/>
      <c r="B37" s="12"/>
      <c r="C37" s="12"/>
      <c r="D37" s="12"/>
      <c r="E37" s="12"/>
      <c r="F37" s="6" t="str">
        <f>Items!$A35</f>
        <v>Eul's Scepter of Divinity</v>
      </c>
      <c r="G37" s="15"/>
      <c r="H37" s="13">
        <f>Items!AE35</f>
        <v>0</v>
      </c>
      <c r="I37" s="13">
        <f>Items!AF35</f>
        <v>0</v>
      </c>
      <c r="J37" s="1"/>
      <c r="K37" s="6" t="s">
        <v>34</v>
      </c>
      <c r="L37" s="15"/>
      <c r="M37" s="13">
        <v>34.976152623213352</v>
      </c>
      <c r="N37" s="13">
        <v>8.5307689324910611E-3</v>
      </c>
      <c r="O37" s="1"/>
      <c r="P37" s="6" t="s">
        <v>30</v>
      </c>
      <c r="Q37" s="15"/>
      <c r="R37" s="13">
        <v>99.364069952310246</v>
      </c>
      <c r="S37" s="13">
        <v>1.9972677377348792E-2</v>
      </c>
      <c r="T37" s="1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</row>
    <row r="38" spans="1:38" x14ac:dyDescent="0.25">
      <c r="A38" s="12"/>
      <c r="B38" s="12"/>
      <c r="C38" s="12"/>
      <c r="D38" s="12"/>
      <c r="E38" s="12"/>
      <c r="F38" s="6" t="str">
        <f>Items!$A36</f>
        <v>Demon Edge</v>
      </c>
      <c r="G38" s="15"/>
      <c r="H38" s="13">
        <f>Items!AE36</f>
        <v>31.796502384738687</v>
      </c>
      <c r="I38" s="13">
        <f>Items!AF36</f>
        <v>1.4452955629426676E-2</v>
      </c>
      <c r="J38" s="1"/>
      <c r="K38" s="6" t="s">
        <v>18</v>
      </c>
      <c r="L38" s="15"/>
      <c r="M38" s="13">
        <v>34.976152623213352</v>
      </c>
      <c r="N38" s="13">
        <v>1.7061537864982122E-2</v>
      </c>
      <c r="O38" s="1"/>
      <c r="P38" s="6" t="s">
        <v>18</v>
      </c>
      <c r="Q38" s="15"/>
      <c r="R38" s="13">
        <v>34.976152623213352</v>
      </c>
      <c r="S38" s="13">
        <v>1.7061537864982122E-2</v>
      </c>
      <c r="T38" s="1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</row>
    <row r="39" spans="1:38" x14ac:dyDescent="0.25">
      <c r="A39" s="12"/>
      <c r="B39" s="12"/>
      <c r="C39" s="12"/>
      <c r="D39" s="12"/>
      <c r="E39" s="12"/>
      <c r="F39" s="6" t="str">
        <f>Items!$A37</f>
        <v>Book of the Dead</v>
      </c>
      <c r="G39" s="15"/>
      <c r="H39" s="13">
        <f>Items!AE37</f>
        <v>0</v>
      </c>
      <c r="I39" s="13">
        <f>Items!AF37</f>
        <v>0</v>
      </c>
      <c r="J39" s="1"/>
      <c r="K39" s="6" t="s">
        <v>28</v>
      </c>
      <c r="L39" s="15"/>
      <c r="M39" s="13">
        <v>31.796502384739824</v>
      </c>
      <c r="N39" s="13">
        <v>1.4452955629427193E-2</v>
      </c>
      <c r="O39" s="1"/>
      <c r="P39" s="6" t="s">
        <v>117</v>
      </c>
      <c r="Q39" s="15"/>
      <c r="R39" s="13">
        <v>18.529411764705884</v>
      </c>
      <c r="S39" s="13">
        <v>1.6844919786096257E-2</v>
      </c>
      <c r="T39" s="1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</row>
    <row r="40" spans="1:38" x14ac:dyDescent="0.25">
      <c r="A40" s="12"/>
      <c r="B40" s="12"/>
      <c r="C40" s="12"/>
      <c r="D40" s="12"/>
      <c r="E40" s="12"/>
      <c r="F40" s="6" t="str">
        <f>Items!$A38</f>
        <v>Stygian Desolator</v>
      </c>
      <c r="G40" s="15"/>
      <c r="H40" s="13">
        <f>Items!AE38</f>
        <v>149.21644333409193</v>
      </c>
      <c r="I40" s="13">
        <f>Items!AF38</f>
        <v>0</v>
      </c>
      <c r="J40" s="1"/>
      <c r="K40" s="20" t="s">
        <v>57</v>
      </c>
      <c r="L40" s="21"/>
      <c r="M40" s="13">
        <v>31.796502384738972</v>
      </c>
      <c r="N40" s="13">
        <v>0</v>
      </c>
      <c r="O40" s="1"/>
      <c r="P40" s="6" t="s">
        <v>63</v>
      </c>
      <c r="Q40" s="15"/>
      <c r="R40" s="13">
        <v>15.898251192369628</v>
      </c>
      <c r="S40" s="13">
        <v>1.5898251192369629E-2</v>
      </c>
      <c r="T40" s="1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</row>
    <row r="41" spans="1:38" x14ac:dyDescent="0.25">
      <c r="A41" s="12"/>
      <c r="B41" s="12"/>
      <c r="C41" s="12"/>
      <c r="D41" s="12"/>
      <c r="E41" s="12"/>
      <c r="F41" s="6" t="str">
        <f>Items!$A39</f>
        <v>Dragon Lance</v>
      </c>
      <c r="G41" s="15"/>
      <c r="H41" s="13">
        <f>Items!AE39</f>
        <v>25.437201907791405</v>
      </c>
      <c r="I41" s="13">
        <f>Items!AF39</f>
        <v>1.3388001004100739E-2</v>
      </c>
      <c r="J41" s="1"/>
      <c r="K41" s="6" t="s">
        <v>70</v>
      </c>
      <c r="L41" s="15"/>
      <c r="M41" s="13">
        <v>31.796502384738687</v>
      </c>
      <c r="N41" s="13">
        <v>1.4452955629426676E-2</v>
      </c>
      <c r="O41" s="1"/>
      <c r="P41" s="6" t="s">
        <v>64</v>
      </c>
      <c r="Q41" s="15"/>
      <c r="R41" s="13">
        <v>7.1542130365662047</v>
      </c>
      <c r="S41" s="13">
        <v>1.5898251192369345E-2</v>
      </c>
      <c r="T41" s="1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</row>
    <row r="42" spans="1:38" x14ac:dyDescent="0.25">
      <c r="A42" s="12"/>
      <c r="B42" s="12"/>
      <c r="C42" s="12"/>
      <c r="D42" s="12"/>
      <c r="E42" s="12"/>
      <c r="F42" s="6" t="str">
        <f>Items!$A40</f>
        <v>Eaglesong</v>
      </c>
      <c r="G42" s="15"/>
      <c r="H42" s="13">
        <f>Items!AE40</f>
        <v>39.74562798092407</v>
      </c>
      <c r="I42" s="13">
        <f>Items!AF40</f>
        <v>1.4194867136044311E-2</v>
      </c>
      <c r="J42" s="1"/>
      <c r="K42" s="6" t="s">
        <v>22</v>
      </c>
      <c r="L42" s="15"/>
      <c r="M42" s="13">
        <v>30.461049284579325</v>
      </c>
      <c r="N42" s="13">
        <v>4.8737678855326916E-3</v>
      </c>
      <c r="O42" s="1"/>
      <c r="P42" s="6" t="s">
        <v>17</v>
      </c>
      <c r="Q42" s="15"/>
      <c r="R42" s="13">
        <v>43.72019077901669</v>
      </c>
      <c r="S42" s="13">
        <v>1.4573396926338897E-2</v>
      </c>
      <c r="T42" s="1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</row>
    <row r="43" spans="1:38" x14ac:dyDescent="0.25">
      <c r="A43" s="12"/>
      <c r="B43" s="12"/>
      <c r="C43" s="12"/>
      <c r="D43" s="12"/>
      <c r="E43" s="12"/>
      <c r="F43" s="6" t="str">
        <f>Items!$A41</f>
        <v>Echo Sabre</v>
      </c>
      <c r="G43" s="15"/>
      <c r="H43" s="13">
        <f>Items!AE41</f>
        <v>19.872813990461964</v>
      </c>
      <c r="I43" s="13">
        <f>Items!AF41</f>
        <v>7.9491255961847852E-3</v>
      </c>
      <c r="J43" s="1"/>
      <c r="K43" s="6" t="s">
        <v>21</v>
      </c>
      <c r="L43" s="15"/>
      <c r="M43" s="13">
        <v>28.696343402226386</v>
      </c>
      <c r="N43" s="13">
        <v>9.9813368355570042E-3</v>
      </c>
      <c r="O43" s="1"/>
      <c r="P43" s="6" t="s">
        <v>28</v>
      </c>
      <c r="Q43" s="15"/>
      <c r="R43" s="13">
        <v>31.796502384739824</v>
      </c>
      <c r="S43" s="13">
        <v>1.4452955629427193E-2</v>
      </c>
      <c r="T43" s="1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</row>
    <row r="44" spans="1:38" x14ac:dyDescent="0.25">
      <c r="A44" s="12"/>
      <c r="B44" s="12"/>
      <c r="C44" s="12"/>
      <c r="D44" s="12"/>
      <c r="E44" s="12"/>
      <c r="F44" s="6" t="str">
        <f>Items!$A42</f>
        <v>Faerie Fire</v>
      </c>
      <c r="G44" s="15"/>
      <c r="H44" s="13">
        <f>Items!AE42</f>
        <v>1.5898251192369344</v>
      </c>
      <c r="I44" s="13">
        <f>Items!AF42</f>
        <v>2.2711787417670493E-2</v>
      </c>
      <c r="J44" s="1"/>
      <c r="K44" s="6" t="s">
        <v>65</v>
      </c>
      <c r="L44" s="15"/>
      <c r="M44" s="13">
        <v>27.821939586647346</v>
      </c>
      <c r="N44" s="13">
        <v>2.7821939586647346E-2</v>
      </c>
      <c r="O44" s="1"/>
      <c r="P44" s="6" t="s">
        <v>70</v>
      </c>
      <c r="Q44" s="15"/>
      <c r="R44" s="13">
        <v>31.796502384738687</v>
      </c>
      <c r="S44" s="13">
        <v>1.4452955629426676E-2</v>
      </c>
      <c r="T44" s="1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</row>
    <row r="45" spans="1:38" x14ac:dyDescent="0.25">
      <c r="A45" s="12"/>
      <c r="B45" s="12"/>
      <c r="C45" s="12"/>
      <c r="D45" s="12"/>
      <c r="E45" s="12"/>
      <c r="F45" s="6" t="str">
        <f>Items!$A43</f>
        <v>Gauntlets of Strength</v>
      </c>
      <c r="G45" s="15"/>
      <c r="H45" s="13">
        <f>Items!AE43</f>
        <v>0</v>
      </c>
      <c r="I45" s="13">
        <f>Items!AF43</f>
        <v>0</v>
      </c>
      <c r="J45" s="1"/>
      <c r="K45" s="6" t="s">
        <v>111</v>
      </c>
      <c r="L45" s="15"/>
      <c r="M45" s="13">
        <v>27.821939586647346</v>
      </c>
      <c r="N45" s="13">
        <v>1.0700745994864364E-2</v>
      </c>
      <c r="O45" s="1"/>
      <c r="P45" s="6" t="s">
        <v>79</v>
      </c>
      <c r="Q45" s="15"/>
      <c r="R45" s="13">
        <v>88.457869634342075</v>
      </c>
      <c r="S45" s="13">
        <v>1.4383393436478386E-2</v>
      </c>
      <c r="T45" s="1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</row>
    <row r="46" spans="1:38" x14ac:dyDescent="0.25">
      <c r="A46" s="12"/>
      <c r="B46" s="12"/>
      <c r="C46" s="12"/>
      <c r="D46" s="12"/>
      <c r="E46" s="12"/>
      <c r="F46" s="6" t="str">
        <f>Items!$A44</f>
        <v>Ghost Scepter</v>
      </c>
      <c r="G46" s="15"/>
      <c r="H46" s="13">
        <f>Items!AE44</f>
        <v>7.949125596184814</v>
      </c>
      <c r="I46" s="13">
        <f>Items!AF44</f>
        <v>5.2994170641232092E-3</v>
      </c>
      <c r="J46" s="1"/>
      <c r="K46" s="6" t="s">
        <v>25</v>
      </c>
      <c r="L46" s="15"/>
      <c r="M46" s="13">
        <v>25.437201907791405</v>
      </c>
      <c r="N46" s="13">
        <v>1.3388001004100739E-2</v>
      </c>
      <c r="O46" s="1"/>
      <c r="P46" s="6" t="s">
        <v>97</v>
      </c>
      <c r="Q46" s="15"/>
      <c r="R46" s="13">
        <v>19.87281399046239</v>
      </c>
      <c r="S46" s="13">
        <v>1.4194867136044564E-2</v>
      </c>
      <c r="T46" s="1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</row>
    <row r="47" spans="1:38" x14ac:dyDescent="0.25">
      <c r="A47" s="12"/>
      <c r="B47" s="12"/>
      <c r="C47" s="12"/>
      <c r="D47" s="12"/>
      <c r="E47" s="12"/>
      <c r="F47" s="6" t="str">
        <f>Items!$A45</f>
        <v>Giant's Ring</v>
      </c>
      <c r="G47" s="15"/>
      <c r="H47" s="13">
        <f>Items!AE45</f>
        <v>0</v>
      </c>
      <c r="I47" s="13">
        <f>Items!AF45</f>
        <v>0</v>
      </c>
      <c r="J47" s="1"/>
      <c r="K47" s="6" t="s">
        <v>134</v>
      </c>
      <c r="L47" s="15"/>
      <c r="M47" s="13">
        <v>25.437201907791405</v>
      </c>
      <c r="N47" s="13">
        <v>5.5298265016937836E-3</v>
      </c>
      <c r="O47" s="1"/>
      <c r="P47" s="6" t="s">
        <v>73</v>
      </c>
      <c r="Q47" s="15"/>
      <c r="R47" s="13">
        <v>39.74562798092407</v>
      </c>
      <c r="S47" s="13">
        <v>1.4194867136044311E-2</v>
      </c>
      <c r="T47" s="1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</row>
    <row r="48" spans="1:38" x14ac:dyDescent="0.25">
      <c r="A48" s="12"/>
      <c r="B48" s="12"/>
      <c r="C48" s="12"/>
      <c r="D48" s="12"/>
      <c r="E48" s="12"/>
      <c r="F48" s="6" t="str">
        <f>Items!$A46</f>
        <v>Gloves of Haste</v>
      </c>
      <c r="G48" s="15"/>
      <c r="H48" s="13">
        <f>Items!AE46</f>
        <v>15.898251192369912</v>
      </c>
      <c r="I48" s="13">
        <f>Items!AF46</f>
        <v>3.5329447094155357E-2</v>
      </c>
      <c r="J48" s="1"/>
      <c r="K48" s="6" t="s">
        <v>32</v>
      </c>
      <c r="L48" s="15"/>
      <c r="M48" s="13">
        <v>23.847376788554868</v>
      </c>
      <c r="N48" s="13">
        <v>4.6531466904497307E-3</v>
      </c>
      <c r="O48" s="1"/>
      <c r="P48" s="6" t="s">
        <v>128</v>
      </c>
      <c r="Q48" s="15"/>
      <c r="R48" s="13">
        <v>6.3593004769478512</v>
      </c>
      <c r="S48" s="13">
        <v>1.4131778837661892E-2</v>
      </c>
      <c r="T48" s="1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</row>
    <row r="49" spans="1:38" x14ac:dyDescent="0.25">
      <c r="A49" s="12"/>
      <c r="B49" s="12"/>
      <c r="C49" s="12"/>
      <c r="D49" s="12"/>
      <c r="E49" s="12"/>
      <c r="F49" s="6" t="str">
        <f>Items!$A47</f>
        <v>Daedalus</v>
      </c>
      <c r="G49" s="15"/>
      <c r="H49" s="13">
        <f>Items!AE47</f>
        <v>177.26550079491477</v>
      </c>
      <c r="I49" s="13">
        <f>Items!AF47</f>
        <v>3.4420485591245588E-2</v>
      </c>
      <c r="J49" s="1"/>
      <c r="K49" s="6" t="s">
        <v>62</v>
      </c>
      <c r="L49" s="15"/>
      <c r="M49" s="13">
        <v>22.257551669317081</v>
      </c>
      <c r="N49" s="13">
        <v>1.0598834128246229E-2</v>
      </c>
      <c r="O49" s="1"/>
      <c r="P49" s="6" t="s">
        <v>29</v>
      </c>
      <c r="Q49" s="15"/>
      <c r="R49" s="13">
        <v>63.593004769477375</v>
      </c>
      <c r="S49" s="13">
        <v>1.345883698824918E-2</v>
      </c>
      <c r="T49" s="1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</row>
    <row r="50" spans="1:38" x14ac:dyDescent="0.25">
      <c r="A50" s="12"/>
      <c r="B50" s="12"/>
      <c r="C50" s="12"/>
      <c r="D50" s="12"/>
      <c r="E50" s="12"/>
      <c r="F50" s="6" t="str">
        <f>Items!$A48</f>
        <v>Greater Faerie Fire</v>
      </c>
      <c r="G50" s="15"/>
      <c r="H50" s="13">
        <f>Items!AE48</f>
        <v>15.898251192369344</v>
      </c>
      <c r="I50" s="13">
        <f>Items!AF48</f>
        <v>0</v>
      </c>
      <c r="J50" s="1"/>
      <c r="K50" s="6" t="s">
        <v>141</v>
      </c>
      <c r="L50" s="15"/>
      <c r="M50" s="13">
        <v>22.01296318943379</v>
      </c>
      <c r="N50" s="13">
        <v>2.3797798042631126E-2</v>
      </c>
      <c r="O50" s="1"/>
      <c r="P50" s="6" t="s">
        <v>25</v>
      </c>
      <c r="Q50" s="15"/>
      <c r="R50" s="13">
        <v>25.437201907791405</v>
      </c>
      <c r="S50" s="13">
        <v>1.3388001004100739E-2</v>
      </c>
      <c r="T50" s="1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</row>
    <row r="51" spans="1:38" x14ac:dyDescent="0.25">
      <c r="A51" s="12"/>
      <c r="B51" s="12"/>
      <c r="C51" s="12"/>
      <c r="D51" s="12"/>
      <c r="E51" s="12"/>
      <c r="F51" s="6" t="str">
        <f>Items!$A49</f>
        <v>Gleipnir</v>
      </c>
      <c r="G51" s="15"/>
      <c r="H51" s="13">
        <f>Items!AE49</f>
        <v>88.457869634342075</v>
      </c>
      <c r="I51" s="13">
        <f>Items!AF49</f>
        <v>1.4383393436478386E-2</v>
      </c>
      <c r="J51" s="1"/>
      <c r="K51" s="20" t="s">
        <v>82</v>
      </c>
      <c r="L51" s="21"/>
      <c r="M51" s="13">
        <v>20.667726550080147</v>
      </c>
      <c r="N51" s="13">
        <v>0</v>
      </c>
      <c r="O51" s="1"/>
      <c r="P51" s="6" t="s">
        <v>91</v>
      </c>
      <c r="Q51" s="15"/>
      <c r="R51" s="13">
        <v>19.872813990461964</v>
      </c>
      <c r="S51" s="13">
        <v>1.3248542660307975E-2</v>
      </c>
      <c r="T51" s="1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</row>
    <row r="52" spans="1:38" x14ac:dyDescent="0.25">
      <c r="A52" s="12"/>
      <c r="B52" s="12"/>
      <c r="C52" s="12"/>
      <c r="D52" s="12"/>
      <c r="E52" s="12"/>
      <c r="F52" s="6" t="str">
        <f>Items!$A50</f>
        <v>Hand of Midas</v>
      </c>
      <c r="G52" s="15"/>
      <c r="H52" s="13">
        <f>Items!AE50</f>
        <v>31.796502384739824</v>
      </c>
      <c r="I52" s="13">
        <f>Items!AF50</f>
        <v>1.4452955629427193E-2</v>
      </c>
      <c r="J52" s="1"/>
      <c r="K52" s="6" t="s">
        <v>97</v>
      </c>
      <c r="L52" s="15"/>
      <c r="M52" s="13">
        <v>19.87281399046239</v>
      </c>
      <c r="N52" s="13">
        <v>1.4194867136044564E-2</v>
      </c>
      <c r="O52" s="1"/>
      <c r="P52" s="6" t="s">
        <v>100</v>
      </c>
      <c r="Q52" s="15"/>
      <c r="R52" s="13">
        <v>47.694753577108031</v>
      </c>
      <c r="S52" s="13">
        <v>1.2718600953895475E-2</v>
      </c>
      <c r="T52" s="1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</row>
    <row r="53" spans="1:38" x14ac:dyDescent="0.25">
      <c r="A53" s="12"/>
      <c r="B53" s="12"/>
      <c r="C53" s="12"/>
      <c r="D53" s="12"/>
      <c r="E53" s="12"/>
      <c r="F53" s="6" t="str">
        <f>Items!$A51</f>
        <v>Havoc Hammer</v>
      </c>
      <c r="G53" s="15"/>
      <c r="H53" s="13">
        <f>Items!AE51</f>
        <v>9.5389507154216062</v>
      </c>
      <c r="I53" s="13">
        <f>Items!AF51</f>
        <v>0</v>
      </c>
      <c r="J53" s="1"/>
      <c r="K53" s="6" t="s">
        <v>74</v>
      </c>
      <c r="L53" s="15"/>
      <c r="M53" s="13">
        <v>19.872813990461964</v>
      </c>
      <c r="N53" s="13">
        <v>7.9491255961847852E-3</v>
      </c>
      <c r="O53" s="1"/>
      <c r="P53" s="6" t="s">
        <v>67</v>
      </c>
      <c r="Q53" s="15"/>
      <c r="R53" s="13">
        <v>11.923688394277008</v>
      </c>
      <c r="S53" s="13">
        <v>1.1923688394277009E-2</v>
      </c>
      <c r="T53" s="1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</row>
    <row r="54" spans="1:38" x14ac:dyDescent="0.25">
      <c r="A54" s="12"/>
      <c r="B54" s="12"/>
      <c r="C54" s="12"/>
      <c r="D54" s="12"/>
      <c r="E54" s="12"/>
      <c r="F54" s="6" t="str">
        <f>Items!$A52</f>
        <v>Heart of Tarrasque</v>
      </c>
      <c r="G54" s="15"/>
      <c r="H54" s="13">
        <f>Items!AE52</f>
        <v>0</v>
      </c>
      <c r="I54" s="13">
        <f>Items!AF52</f>
        <v>0</v>
      </c>
      <c r="J54" s="1"/>
      <c r="K54" s="6" t="s">
        <v>91</v>
      </c>
      <c r="L54" s="15"/>
      <c r="M54" s="13">
        <v>19.872813990461964</v>
      </c>
      <c r="N54" s="13">
        <v>1.3248542660307975E-2</v>
      </c>
      <c r="O54" s="1"/>
      <c r="P54" s="6" t="s">
        <v>88</v>
      </c>
      <c r="Q54" s="15"/>
      <c r="R54" s="13">
        <v>19.077901430843212</v>
      </c>
      <c r="S54" s="13">
        <v>1.1923688394277009E-2</v>
      </c>
      <c r="T54" s="1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</row>
    <row r="55" spans="1:38" x14ac:dyDescent="0.25">
      <c r="A55" s="12"/>
      <c r="B55" s="12"/>
      <c r="C55" s="12"/>
      <c r="D55" s="12"/>
      <c r="E55" s="12"/>
      <c r="F55" s="6" t="str">
        <f>Items!$A53</f>
        <v>Heaven's Halberd</v>
      </c>
      <c r="G55" s="15"/>
      <c r="H55" s="13">
        <f>Items!AE53</f>
        <v>0</v>
      </c>
      <c r="I55" s="13">
        <f>Items!AF53</f>
        <v>0</v>
      </c>
      <c r="J55" s="1"/>
      <c r="K55" s="6" t="s">
        <v>102</v>
      </c>
      <c r="L55" s="15"/>
      <c r="M55" s="13">
        <v>19.077901430843553</v>
      </c>
      <c r="N55" s="13">
        <v>6.9374187021249284E-3</v>
      </c>
      <c r="O55" s="1"/>
      <c r="P55" s="6" t="s">
        <v>68</v>
      </c>
      <c r="Q55" s="15"/>
      <c r="R55" s="13">
        <v>15.898251192369344</v>
      </c>
      <c r="S55" s="13">
        <v>1.1776482364718033E-2</v>
      </c>
      <c r="T55" s="1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</row>
    <row r="56" spans="1:38" x14ac:dyDescent="0.25">
      <c r="A56" s="12"/>
      <c r="B56" s="12"/>
      <c r="C56" s="12"/>
      <c r="D56" s="12"/>
      <c r="E56" s="12"/>
      <c r="F56" s="6" t="str">
        <f>Items!$A54</f>
        <v>Hyperstone</v>
      </c>
      <c r="G56" s="15"/>
      <c r="H56" s="13">
        <f>Items!AE54</f>
        <v>47.694753577109736</v>
      </c>
      <c r="I56" s="13">
        <f>Items!AF54</f>
        <v>2.3847376788554867E-2</v>
      </c>
      <c r="J56" s="1"/>
      <c r="K56" s="6" t="s">
        <v>61</v>
      </c>
      <c r="L56" s="15"/>
      <c r="M56" s="13">
        <v>19.077901430843212</v>
      </c>
      <c r="N56" s="13">
        <v>4.7105929458872127E-3</v>
      </c>
      <c r="O56" s="1"/>
      <c r="P56" s="6" t="s">
        <v>60</v>
      </c>
      <c r="Q56" s="15"/>
      <c r="R56" s="13">
        <v>47.694753577108031</v>
      </c>
      <c r="S56" s="13">
        <v>1.163286672612391E-2</v>
      </c>
      <c r="T56" s="1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</row>
    <row r="57" spans="1:38" x14ac:dyDescent="0.25">
      <c r="A57" s="12"/>
      <c r="B57" s="12"/>
      <c r="C57" s="12"/>
      <c r="D57" s="12"/>
      <c r="E57" s="12"/>
      <c r="F57" s="6" t="str">
        <f>Items!$A55</f>
        <v>Imp Claw</v>
      </c>
      <c r="G57" s="15"/>
      <c r="H57" s="13">
        <f>Items!AE55</f>
        <v>20.667726550080147</v>
      </c>
      <c r="I57" s="13">
        <f>Items!AF55</f>
        <v>0</v>
      </c>
      <c r="J57" s="1"/>
      <c r="K57" s="6" t="s">
        <v>88</v>
      </c>
      <c r="L57" s="15"/>
      <c r="M57" s="13">
        <v>19.077901430843212</v>
      </c>
      <c r="N57" s="13">
        <v>1.1923688394277009E-2</v>
      </c>
      <c r="O57" s="1"/>
      <c r="P57" s="6" t="s">
        <v>84</v>
      </c>
      <c r="Q57" s="15"/>
      <c r="R57" s="13">
        <v>50.87440381558298</v>
      </c>
      <c r="S57" s="13">
        <v>1.1059653003387604E-2</v>
      </c>
      <c r="T57" s="1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</row>
    <row r="58" spans="1:38" x14ac:dyDescent="0.25">
      <c r="A58" s="12"/>
      <c r="B58" s="12"/>
      <c r="C58" s="12"/>
      <c r="D58" s="12"/>
      <c r="E58" s="12"/>
      <c r="F58" s="6" t="str">
        <f>Items!$A56</f>
        <v>Shadow Blade</v>
      </c>
      <c r="G58" s="15"/>
      <c r="H58" s="13">
        <f>Items!AE56</f>
        <v>43.72019077901669</v>
      </c>
      <c r="I58" s="13">
        <f>Items!AF56</f>
        <v>1.4573396926338897E-2</v>
      </c>
      <c r="J58" s="1"/>
      <c r="K58" s="6" t="s">
        <v>117</v>
      </c>
      <c r="L58" s="15"/>
      <c r="M58" s="13">
        <v>18.529411764705884</v>
      </c>
      <c r="N58" s="13">
        <v>1.6844919786096257E-2</v>
      </c>
      <c r="O58" s="1"/>
      <c r="P58" s="6" t="s">
        <v>111</v>
      </c>
      <c r="Q58" s="15"/>
      <c r="R58" s="13">
        <v>27.821939586647346</v>
      </c>
      <c r="S58" s="13">
        <v>1.0700745994864364E-2</v>
      </c>
      <c r="T58" s="1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</row>
    <row r="59" spans="1:38" x14ac:dyDescent="0.25">
      <c r="A59" s="12"/>
      <c r="B59" s="12"/>
      <c r="C59" s="12"/>
      <c r="D59" s="12"/>
      <c r="E59" s="12"/>
      <c r="F59" s="6" t="str">
        <f>Items!$A57</f>
        <v>Iron Talon</v>
      </c>
      <c r="G59" s="15"/>
      <c r="H59" s="13">
        <f>Items!AE57</f>
        <v>11.923688394277434</v>
      </c>
      <c r="I59" s="13">
        <f>Items!AF57</f>
        <v>3.9613582705240645E-2</v>
      </c>
      <c r="J59" s="1"/>
      <c r="K59" s="6" t="s">
        <v>33</v>
      </c>
      <c r="L59" s="15"/>
      <c r="M59" s="13">
        <v>15.898251192369912</v>
      </c>
      <c r="N59" s="13">
        <v>3.5329447094155357E-2</v>
      </c>
      <c r="O59" s="1"/>
      <c r="P59" s="6" t="s">
        <v>131</v>
      </c>
      <c r="Q59" s="15"/>
      <c r="R59" s="13">
        <v>4.7694753577108884</v>
      </c>
      <c r="S59" s="13">
        <v>1.0598834128246418E-2</v>
      </c>
      <c r="T59" s="1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</row>
    <row r="60" spans="1:38" x14ac:dyDescent="0.25">
      <c r="A60" s="12"/>
      <c r="B60" s="12"/>
      <c r="C60" s="12"/>
      <c r="D60" s="12"/>
      <c r="E60" s="12"/>
      <c r="F60" s="6" t="str">
        <f>Items!$A58</f>
        <v>Ironwood Tree</v>
      </c>
      <c r="G60" s="15"/>
      <c r="H60" s="13">
        <f>Items!AE58</f>
        <v>9.5389507154217767</v>
      </c>
      <c r="I60" s="13">
        <f>Items!AF58</f>
        <v>6.3171859042528325E-2</v>
      </c>
      <c r="J60" s="1"/>
      <c r="K60" s="6" t="s">
        <v>63</v>
      </c>
      <c r="L60" s="15"/>
      <c r="M60" s="13">
        <v>15.898251192369628</v>
      </c>
      <c r="N60" s="13">
        <v>1.5898251192369629E-2</v>
      </c>
      <c r="O60" s="1"/>
      <c r="P60" s="6" t="s">
        <v>62</v>
      </c>
      <c r="Q60" s="15"/>
      <c r="R60" s="13">
        <v>22.257551669317081</v>
      </c>
      <c r="S60" s="13">
        <v>1.0598834128246229E-2</v>
      </c>
      <c r="T60" s="1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</row>
    <row r="61" spans="1:38" x14ac:dyDescent="0.25">
      <c r="A61" s="12"/>
      <c r="B61" s="12"/>
      <c r="C61" s="12"/>
      <c r="D61" s="12"/>
      <c r="E61" s="12"/>
      <c r="F61" s="6" t="str">
        <f>Items!$A59</f>
        <v>Javelin</v>
      </c>
      <c r="G61" s="15"/>
      <c r="H61" s="13">
        <f>Items!AE59</f>
        <v>18.529411764705884</v>
      </c>
      <c r="I61" s="13">
        <f>Items!AF59</f>
        <v>1.6844919786096257E-2</v>
      </c>
      <c r="J61" s="1"/>
      <c r="K61" s="6" t="s">
        <v>86</v>
      </c>
      <c r="L61" s="15"/>
      <c r="M61" s="13">
        <v>15.898251192369628</v>
      </c>
      <c r="N61" s="13">
        <v>8.9567612351378178E-3</v>
      </c>
      <c r="O61" s="1"/>
      <c r="P61" s="6" t="s">
        <v>21</v>
      </c>
      <c r="Q61" s="15"/>
      <c r="R61" s="13">
        <v>28.696343402226386</v>
      </c>
      <c r="S61" s="13">
        <v>9.9813368355570042E-3</v>
      </c>
      <c r="T61" s="1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</row>
    <row r="62" spans="1:38" x14ac:dyDescent="0.25">
      <c r="A62" s="12"/>
      <c r="B62" s="12"/>
      <c r="C62" s="12"/>
      <c r="D62" s="12"/>
      <c r="E62" s="12"/>
      <c r="F62" s="6" t="str">
        <f>Items!$A60</f>
        <v>Crystalys</v>
      </c>
      <c r="G62" s="15"/>
      <c r="H62" s="13">
        <f>Items!AE60</f>
        <v>101.74880763116137</v>
      </c>
      <c r="I62" s="13">
        <f>Items!AF60</f>
        <v>5.2178875708287879E-2</v>
      </c>
      <c r="J62" s="1"/>
      <c r="K62" s="6" t="s">
        <v>103</v>
      </c>
      <c r="L62" s="15"/>
      <c r="M62" s="13">
        <v>15.898251192369628</v>
      </c>
      <c r="N62" s="13">
        <v>2.8014539546025777E-3</v>
      </c>
      <c r="O62" s="1"/>
      <c r="P62" s="6" t="s">
        <v>98</v>
      </c>
      <c r="Q62" s="15"/>
      <c r="R62" s="13">
        <v>7.9491255961846718</v>
      </c>
      <c r="S62" s="13">
        <v>9.084714967068197E-3</v>
      </c>
      <c r="T62" s="1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</row>
    <row r="63" spans="1:38" x14ac:dyDescent="0.25">
      <c r="A63" s="12"/>
      <c r="B63" s="12"/>
      <c r="C63" s="12"/>
      <c r="D63" s="12"/>
      <c r="E63" s="12"/>
      <c r="F63" s="6" t="str">
        <f>Items!$A61</f>
        <v>Maelstrom</v>
      </c>
      <c r="G63" s="15"/>
      <c r="H63" s="13">
        <f>Items!AE61</f>
        <v>56.13672496025498</v>
      </c>
      <c r="I63" s="13">
        <f>Items!AF61</f>
        <v>2.0791379614909251E-2</v>
      </c>
      <c r="J63" s="1"/>
      <c r="K63" s="6" t="s">
        <v>137</v>
      </c>
      <c r="L63" s="15"/>
      <c r="M63" s="13">
        <v>15.898251192369628</v>
      </c>
      <c r="N63" s="13">
        <v>7.7552444840827449E-3</v>
      </c>
      <c r="O63" s="1"/>
      <c r="P63" s="6" t="s">
        <v>86</v>
      </c>
      <c r="Q63" s="15"/>
      <c r="R63" s="13">
        <v>15.898251192369628</v>
      </c>
      <c r="S63" s="13">
        <v>8.9567612351378178E-3</v>
      </c>
      <c r="T63" s="1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</row>
    <row r="64" spans="1:38" x14ac:dyDescent="0.25">
      <c r="A64" s="12"/>
      <c r="B64" s="12"/>
      <c r="C64" s="12"/>
      <c r="D64" s="12"/>
      <c r="E64" s="12"/>
      <c r="F64" s="6" t="str">
        <f>Items!$A62</f>
        <v>Magic Wand</v>
      </c>
      <c r="G64" s="15"/>
      <c r="H64" s="13">
        <f>Items!AE62</f>
        <v>4.7694753577108884</v>
      </c>
      <c r="I64" s="13">
        <f>Items!AF62</f>
        <v>1.0598834128246418E-2</v>
      </c>
      <c r="J64" s="1"/>
      <c r="K64" s="6" t="s">
        <v>138</v>
      </c>
      <c r="L64" s="15"/>
      <c r="M64" s="13">
        <v>15.898251192369628</v>
      </c>
      <c r="N64" s="13">
        <v>3.7852979029451496E-3</v>
      </c>
      <c r="O64" s="1"/>
      <c r="P64" s="6" t="s">
        <v>34</v>
      </c>
      <c r="Q64" s="15"/>
      <c r="R64" s="13">
        <v>34.976152623213352</v>
      </c>
      <c r="S64" s="13">
        <v>8.5307689324910611E-3</v>
      </c>
      <c r="T64" s="1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</row>
    <row r="65" spans="1:38" x14ac:dyDescent="0.25">
      <c r="A65" s="12"/>
      <c r="B65" s="12"/>
      <c r="C65" s="12"/>
      <c r="D65" s="12"/>
      <c r="E65" s="12"/>
      <c r="F65" s="6" t="str">
        <f>Items!$A63</f>
        <v>Manta Style</v>
      </c>
      <c r="G65" s="15"/>
      <c r="H65" s="13">
        <f>Items!AE63</f>
        <v>50.87440381558298</v>
      </c>
      <c r="I65" s="13">
        <f>Items!AF63</f>
        <v>1.1059653003387604E-2</v>
      </c>
      <c r="J65" s="1"/>
      <c r="K65" s="6" t="s">
        <v>68</v>
      </c>
      <c r="L65" s="15"/>
      <c r="M65" s="13">
        <v>15.898251192369344</v>
      </c>
      <c r="N65" s="13">
        <v>1.1776482364718033E-2</v>
      </c>
      <c r="O65" s="1"/>
      <c r="P65" s="6" t="s">
        <v>74</v>
      </c>
      <c r="Q65" s="15"/>
      <c r="R65" s="13">
        <v>19.872813990461964</v>
      </c>
      <c r="S65" s="13">
        <v>7.9491255961847852E-3</v>
      </c>
      <c r="T65" s="1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</row>
    <row r="66" spans="1:38" x14ac:dyDescent="0.25">
      <c r="A66" s="12"/>
      <c r="B66" s="12"/>
      <c r="C66" s="12"/>
      <c r="D66" s="12"/>
      <c r="E66" s="12"/>
      <c r="F66" s="6" t="str">
        <f>Items!$A64</f>
        <v>Mantle of Intelligence</v>
      </c>
      <c r="G66" s="15"/>
      <c r="H66" s="13">
        <f>Items!AE64</f>
        <v>0</v>
      </c>
      <c r="I66" s="13">
        <f>Items!AF64</f>
        <v>0</v>
      </c>
      <c r="J66" s="1"/>
      <c r="K66" s="20" t="s">
        <v>78</v>
      </c>
      <c r="L66" s="21"/>
      <c r="M66" s="13">
        <v>15.898251192369344</v>
      </c>
      <c r="N66" s="13">
        <v>0</v>
      </c>
      <c r="O66" s="1"/>
      <c r="P66" s="6" t="s">
        <v>137</v>
      </c>
      <c r="Q66" s="15"/>
      <c r="R66" s="13">
        <v>15.898251192369628</v>
      </c>
      <c r="S66" s="13">
        <v>7.7552444840827449E-3</v>
      </c>
      <c r="T66" s="1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</row>
    <row r="67" spans="1:38" x14ac:dyDescent="0.25">
      <c r="A67" s="12"/>
      <c r="B67" s="12"/>
      <c r="C67" s="12"/>
      <c r="D67" s="12"/>
      <c r="E67" s="12"/>
      <c r="F67" s="6" t="str">
        <f>Items!$A65</f>
        <v>Mask of Madness</v>
      </c>
      <c r="G67" s="15"/>
      <c r="H67" s="13">
        <f>Items!AE65</f>
        <v>15.898251192369628</v>
      </c>
      <c r="I67" s="13">
        <f>Items!AF65</f>
        <v>8.9567612351378178E-3</v>
      </c>
      <c r="J67" s="1"/>
      <c r="K67" s="6" t="s">
        <v>112</v>
      </c>
      <c r="L67" s="15"/>
      <c r="M67" s="13">
        <v>14.027868699148991</v>
      </c>
      <c r="N67" s="13">
        <v>4.6759562330496635E-2</v>
      </c>
      <c r="O67" s="1"/>
      <c r="P67" s="6" t="s">
        <v>102</v>
      </c>
      <c r="Q67" s="15"/>
      <c r="R67" s="13">
        <v>19.077901430843553</v>
      </c>
      <c r="S67" s="13">
        <v>6.9374187021249284E-3</v>
      </c>
      <c r="T67" s="1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</row>
    <row r="68" spans="1:38" x14ac:dyDescent="0.25">
      <c r="A68" s="12"/>
      <c r="B68" s="12"/>
      <c r="C68" s="12"/>
      <c r="D68" s="12"/>
      <c r="E68" s="12"/>
      <c r="F68" s="6" t="str">
        <f>Items!$A66</f>
        <v>Minotaur Horn</v>
      </c>
      <c r="G68" s="15"/>
      <c r="H68" s="13">
        <f>Items!AE66</f>
        <v>0</v>
      </c>
      <c r="I68" s="13">
        <f>Items!AF66</f>
        <v>0</v>
      </c>
      <c r="J68" s="1"/>
      <c r="K68" s="20" t="s">
        <v>96</v>
      </c>
      <c r="L68" s="21"/>
      <c r="M68" s="13">
        <v>12.718600953895702</v>
      </c>
      <c r="N68" s="13">
        <v>0</v>
      </c>
      <c r="O68" s="1"/>
      <c r="P68" s="6" t="s">
        <v>94</v>
      </c>
      <c r="Q68" s="15"/>
      <c r="R68" s="13">
        <v>9.5389507154216062</v>
      </c>
      <c r="S68" s="13">
        <v>6.3593004769477374E-3</v>
      </c>
      <c r="T68" s="1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</row>
    <row r="69" spans="1:38" x14ac:dyDescent="0.25">
      <c r="A69" s="12"/>
      <c r="B69" s="12"/>
      <c r="C69" s="12"/>
      <c r="D69" s="12"/>
      <c r="E69" s="12"/>
      <c r="F69" s="6" t="str">
        <f>Items!$A67</f>
        <v>Mithril Hammer</v>
      </c>
      <c r="G69" s="15"/>
      <c r="H69" s="13">
        <f>Items!AE67</f>
        <v>19.077901430843212</v>
      </c>
      <c r="I69" s="13">
        <f>Items!AF67</f>
        <v>1.1923688394277009E-2</v>
      </c>
      <c r="J69" s="1"/>
      <c r="K69" s="20" t="s">
        <v>83</v>
      </c>
      <c r="L69" s="21"/>
      <c r="M69" s="13">
        <v>11.923688394277434</v>
      </c>
      <c r="N69" s="13">
        <v>3.9613582705240645E-2</v>
      </c>
      <c r="O69" s="1"/>
      <c r="P69" s="6" t="s">
        <v>134</v>
      </c>
      <c r="Q69" s="15"/>
      <c r="R69" s="13">
        <v>25.437201907791405</v>
      </c>
      <c r="S69" s="13">
        <v>5.5298265016937836E-3</v>
      </c>
      <c r="T69" s="1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</row>
    <row r="70" spans="1:38" x14ac:dyDescent="0.25">
      <c r="A70" s="12"/>
      <c r="B70" s="12"/>
      <c r="C70" s="12"/>
      <c r="D70" s="12"/>
      <c r="E70" s="12"/>
      <c r="F70" s="6" t="str">
        <f>Items!$A68</f>
        <v>Mjollnir</v>
      </c>
      <c r="G70" s="15"/>
      <c r="H70" s="13">
        <f>Items!AE68</f>
        <v>122.36883942766733</v>
      </c>
      <c r="I70" s="13">
        <f>Items!AF68</f>
        <v>2.1851578469226307E-2</v>
      </c>
      <c r="J70" s="1"/>
      <c r="K70" s="6" t="s">
        <v>67</v>
      </c>
      <c r="L70" s="15"/>
      <c r="M70" s="13">
        <v>11.923688394277008</v>
      </c>
      <c r="N70" s="13">
        <v>1.1923688394277009E-2</v>
      </c>
      <c r="O70" s="1"/>
      <c r="P70" s="6" t="s">
        <v>129</v>
      </c>
      <c r="Q70" s="15"/>
      <c r="R70" s="13">
        <v>7.949125596184814</v>
      </c>
      <c r="S70" s="13">
        <v>5.2994170641232092E-3</v>
      </c>
      <c r="T70" s="1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</row>
    <row r="71" spans="1:38" x14ac:dyDescent="0.25">
      <c r="A71" s="12"/>
      <c r="B71" s="12"/>
      <c r="C71" s="12"/>
      <c r="D71" s="12"/>
      <c r="E71" s="12"/>
      <c r="F71" s="6" t="str">
        <f>Items!$A69</f>
        <v>Monkey King Bar</v>
      </c>
      <c r="G71" s="15"/>
      <c r="H71" s="13">
        <f>Items!AE69</f>
        <v>116.97933227345334</v>
      </c>
      <c r="I71" s="13">
        <f>Items!AF69</f>
        <v>2.351343362280469E-2</v>
      </c>
      <c r="J71" s="1"/>
      <c r="K71" s="20" t="s">
        <v>136</v>
      </c>
      <c r="L71" s="21"/>
      <c r="M71" s="13">
        <v>11.12877583465874</v>
      </c>
      <c r="N71" s="13">
        <v>0</v>
      </c>
      <c r="O71" s="1"/>
      <c r="P71" s="6" t="s">
        <v>22</v>
      </c>
      <c r="Q71" s="15"/>
      <c r="R71" s="13">
        <v>30.461049284579325</v>
      </c>
      <c r="S71" s="13">
        <v>4.8737678855326916E-3</v>
      </c>
      <c r="T71" s="1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</row>
    <row r="72" spans="1:38" x14ac:dyDescent="0.25">
      <c r="A72" s="12"/>
      <c r="B72" s="12"/>
      <c r="C72" s="12"/>
      <c r="D72" s="12"/>
      <c r="E72" s="12"/>
      <c r="F72" s="6" t="str">
        <f>Items!$A70</f>
        <v>Moon Shard</v>
      </c>
      <c r="G72" s="15"/>
      <c r="H72" s="13">
        <f>Items!AE70</f>
        <v>111.28775834658938</v>
      </c>
      <c r="I72" s="13">
        <f>Items!AF70</f>
        <v>2.7821939586647346E-2</v>
      </c>
      <c r="J72" s="1"/>
      <c r="K72" s="6" t="s">
        <v>66</v>
      </c>
      <c r="L72" s="15"/>
      <c r="M72" s="13">
        <v>9.5389507154217767</v>
      </c>
      <c r="N72" s="13">
        <v>2.1197668256492837E-2</v>
      </c>
      <c r="O72" s="1"/>
      <c r="P72" s="6" t="s">
        <v>61</v>
      </c>
      <c r="Q72" s="15"/>
      <c r="R72" s="13">
        <v>19.077901430843212</v>
      </c>
      <c r="S72" s="13">
        <v>4.7105929458872127E-3</v>
      </c>
      <c r="T72" s="1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</row>
    <row r="73" spans="1:38" x14ac:dyDescent="0.25">
      <c r="A73" s="12"/>
      <c r="B73" s="12"/>
      <c r="C73" s="12"/>
      <c r="D73" s="12"/>
      <c r="E73" s="12"/>
      <c r="F73" s="6" t="str">
        <f>Items!$A71</f>
        <v>Mystic Staff</v>
      </c>
      <c r="G73" s="15"/>
      <c r="H73" s="13">
        <f>Items!AE71</f>
        <v>0</v>
      </c>
      <c r="I73" s="13">
        <f>Items!AF71</f>
        <v>0</v>
      </c>
      <c r="J73" s="1"/>
      <c r="K73" s="20" t="s">
        <v>130</v>
      </c>
      <c r="L73" s="21"/>
      <c r="M73" s="13">
        <v>9.5389507154217767</v>
      </c>
      <c r="N73" s="13">
        <v>6.3171859042528325E-2</v>
      </c>
      <c r="O73" s="1"/>
      <c r="P73" s="6" t="s">
        <v>32</v>
      </c>
      <c r="Q73" s="15"/>
      <c r="R73" s="13">
        <v>23.847376788554868</v>
      </c>
      <c r="S73" s="13">
        <v>4.6531466904497307E-3</v>
      </c>
      <c r="T73" s="1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</row>
    <row r="74" spans="1:38" x14ac:dyDescent="0.25">
      <c r="A74" s="12"/>
      <c r="B74" s="12"/>
      <c r="C74" s="12"/>
      <c r="D74" s="12"/>
      <c r="E74" s="12"/>
      <c r="F74" s="6" t="str">
        <f>Items!$A72</f>
        <v>Nullifier</v>
      </c>
      <c r="G74" s="15"/>
      <c r="H74" s="13">
        <f>Items!AE72</f>
        <v>63.593004769477375</v>
      </c>
      <c r="I74" s="13">
        <f>Items!AF72</f>
        <v>1.345883698824918E-2</v>
      </c>
      <c r="J74" s="1"/>
      <c r="K74" s="20" t="s">
        <v>80</v>
      </c>
      <c r="L74" s="21"/>
      <c r="M74" s="13">
        <v>9.5389507154216062</v>
      </c>
      <c r="N74" s="13">
        <v>0</v>
      </c>
      <c r="O74" s="1"/>
      <c r="P74" s="6" t="s">
        <v>140</v>
      </c>
      <c r="Q74" s="15"/>
      <c r="R74" s="13">
        <v>6.3593004769478512</v>
      </c>
      <c r="S74" s="13">
        <v>4.1700330996379351E-3</v>
      </c>
      <c r="T74" s="1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</row>
    <row r="75" spans="1:38" x14ac:dyDescent="0.25">
      <c r="A75" s="12"/>
      <c r="B75" s="12"/>
      <c r="C75" s="12"/>
      <c r="D75" s="12"/>
      <c r="E75" s="12"/>
      <c r="F75" s="6" t="str">
        <f>Items!$A73</f>
        <v>Oblivion Staff</v>
      </c>
      <c r="G75" s="15"/>
      <c r="H75" s="13">
        <f>Items!AE73</f>
        <v>19.872813990461964</v>
      </c>
      <c r="I75" s="13">
        <f>Items!AF73</f>
        <v>1.3248542660307975E-2</v>
      </c>
      <c r="J75" s="1"/>
      <c r="K75" s="6" t="s">
        <v>94</v>
      </c>
      <c r="L75" s="15"/>
      <c r="M75" s="13">
        <v>9.5389507154216062</v>
      </c>
      <c r="N75" s="13">
        <v>6.3593004769477374E-3</v>
      </c>
      <c r="O75" s="1"/>
      <c r="P75" s="6" t="s">
        <v>138</v>
      </c>
      <c r="Q75" s="15"/>
      <c r="R75" s="13">
        <v>15.898251192369628</v>
      </c>
      <c r="S75" s="13">
        <v>3.7852979029451496E-3</v>
      </c>
      <c r="T75" s="1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</row>
    <row r="76" spans="1:38" x14ac:dyDescent="0.25">
      <c r="A76" s="12"/>
      <c r="B76" s="12"/>
      <c r="C76" s="12"/>
      <c r="D76" s="12"/>
      <c r="E76" s="12"/>
      <c r="F76" s="6" t="str">
        <f>Items!$A74</f>
        <v>Ogre Axe</v>
      </c>
      <c r="G76" s="15"/>
      <c r="H76" s="13">
        <f>Items!AE74</f>
        <v>0</v>
      </c>
      <c r="I76" s="13">
        <f>Items!AF74</f>
        <v>0</v>
      </c>
      <c r="J76" s="1"/>
      <c r="K76" s="20" t="s">
        <v>108</v>
      </c>
      <c r="L76" s="21"/>
      <c r="M76" s="13">
        <v>7.9491255961849561</v>
      </c>
      <c r="N76" s="13">
        <v>0</v>
      </c>
      <c r="O76" s="1"/>
      <c r="P76" s="6" t="s">
        <v>139</v>
      </c>
      <c r="Q76" s="15"/>
      <c r="R76" s="13">
        <v>3.1796502384739256</v>
      </c>
      <c r="S76" s="13">
        <v>3.6132389073567335E-3</v>
      </c>
      <c r="T76" s="1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</row>
    <row r="77" spans="1:38" x14ac:dyDescent="0.25">
      <c r="A77" s="12"/>
      <c r="B77" s="12"/>
      <c r="C77" s="12"/>
      <c r="D77" s="12"/>
      <c r="E77" s="12"/>
      <c r="F77" s="6" t="str">
        <f>Items!$A75</f>
        <v>Orb of Corrosion</v>
      </c>
      <c r="G77" s="15"/>
      <c r="H77" s="13">
        <f>Items!AE75</f>
        <v>22.01296318943379</v>
      </c>
      <c r="I77" s="13">
        <f>Items!AF75</f>
        <v>2.3797798042631126E-2</v>
      </c>
      <c r="J77" s="1"/>
      <c r="K77" s="6" t="s">
        <v>129</v>
      </c>
      <c r="L77" s="15"/>
      <c r="M77" s="13">
        <v>7.949125596184814</v>
      </c>
      <c r="N77" s="13">
        <v>5.2994170641232092E-3</v>
      </c>
      <c r="O77" s="1"/>
      <c r="P77" s="6" t="s">
        <v>133</v>
      </c>
      <c r="Q77" s="15"/>
      <c r="R77" s="13">
        <v>7.949125596184814</v>
      </c>
      <c r="S77" s="13">
        <v>3.0282383223561196E-3</v>
      </c>
      <c r="T77" s="1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</row>
    <row r="78" spans="1:38" x14ac:dyDescent="0.25">
      <c r="A78" s="12"/>
      <c r="B78" s="12"/>
      <c r="C78" s="12"/>
      <c r="D78" s="12"/>
      <c r="E78" s="12"/>
      <c r="F78" s="6" t="str">
        <f>Items!$A76</f>
        <v>Overwhelming Blink</v>
      </c>
      <c r="G78" s="15"/>
      <c r="H78" s="13">
        <f>Items!AE76</f>
        <v>0</v>
      </c>
      <c r="I78" s="13">
        <f>Items!AF76</f>
        <v>0</v>
      </c>
      <c r="J78" s="1"/>
      <c r="K78" s="20" t="s">
        <v>132</v>
      </c>
      <c r="L78" s="21"/>
      <c r="M78" s="13">
        <v>7.949125596184814</v>
      </c>
      <c r="N78" s="13">
        <v>0</v>
      </c>
      <c r="O78" s="1"/>
      <c r="P78" s="6" t="s">
        <v>103</v>
      </c>
      <c r="Q78" s="15"/>
      <c r="R78" s="13">
        <v>15.898251192369628</v>
      </c>
      <c r="S78" s="13">
        <v>2.8014539546025777E-3</v>
      </c>
      <c r="T78" s="1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</row>
    <row r="79" spans="1:38" x14ac:dyDescent="0.25">
      <c r="A79" s="12"/>
      <c r="B79" s="12"/>
      <c r="C79" s="12"/>
      <c r="D79" s="12"/>
      <c r="E79" s="12"/>
      <c r="F79" s="6" t="str">
        <f>Items!$A77</f>
        <v>Phase Boots</v>
      </c>
      <c r="G79" s="15"/>
      <c r="H79" s="13">
        <f>Items!AE77</f>
        <v>9.5389507154216062</v>
      </c>
      <c r="I79" s="13">
        <f>Items!AF77</f>
        <v>6.3593004769477374E-3</v>
      </c>
      <c r="J79" s="1"/>
      <c r="K79" s="6" t="s">
        <v>133</v>
      </c>
      <c r="L79" s="15"/>
      <c r="M79" s="13">
        <v>7.949125596184814</v>
      </c>
      <c r="N79" s="13">
        <v>3.0282383223561196E-3</v>
      </c>
      <c r="O79" s="1"/>
      <c r="P79" s="6" t="s">
        <v>135</v>
      </c>
      <c r="Q79" s="15"/>
      <c r="R79" s="13">
        <v>3.1796502384739256</v>
      </c>
      <c r="S79" s="13">
        <v>1.0669967243201093E-3</v>
      </c>
      <c r="T79" s="1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</row>
    <row r="80" spans="1:38" x14ac:dyDescent="0.25">
      <c r="A80" s="12"/>
      <c r="B80" s="12"/>
      <c r="C80" s="12"/>
      <c r="D80" s="12"/>
      <c r="E80" s="12"/>
      <c r="F80" s="6" t="str">
        <f>Items!$A78</f>
        <v>Philosopher's Stone</v>
      </c>
      <c r="G80" s="15"/>
      <c r="H80" s="13">
        <f>Items!AE78</f>
        <v>-23.847376788554016</v>
      </c>
      <c r="I80" s="13">
        <f>Items!AF78</f>
        <v>0</v>
      </c>
      <c r="J80" s="1"/>
      <c r="K80" s="6" t="s">
        <v>98</v>
      </c>
      <c r="L80" s="15"/>
      <c r="M80" s="13">
        <v>7.9491255961846718</v>
      </c>
      <c r="N80" s="13">
        <v>9.084714967068197E-3</v>
      </c>
      <c r="O80" s="1"/>
      <c r="P80" s="20" t="s">
        <v>57</v>
      </c>
      <c r="Q80" s="21"/>
      <c r="R80" s="13">
        <v>31.796502384738972</v>
      </c>
      <c r="S80" s="13">
        <v>0</v>
      </c>
      <c r="T80" s="1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</row>
    <row r="81" spans="1:38" x14ac:dyDescent="0.25">
      <c r="A81" s="12"/>
      <c r="B81" s="12"/>
      <c r="C81" s="12"/>
      <c r="D81" s="12"/>
      <c r="E81" s="12"/>
      <c r="F81" s="6" t="str">
        <f>Items!$A79</f>
        <v>Poor Man's Shield</v>
      </c>
      <c r="G81" s="15"/>
      <c r="H81" s="13">
        <f>Items!AE79</f>
        <v>12.718600953895702</v>
      </c>
      <c r="I81" s="13">
        <f>Items!AF79</f>
        <v>0</v>
      </c>
      <c r="J81" s="1"/>
      <c r="K81" s="6" t="s">
        <v>64</v>
      </c>
      <c r="L81" s="15"/>
      <c r="M81" s="13">
        <v>7.1542130365662047</v>
      </c>
      <c r="N81" s="13">
        <v>1.5898251192369345E-2</v>
      </c>
      <c r="O81" s="1"/>
      <c r="P81" s="20" t="s">
        <v>58</v>
      </c>
      <c r="Q81" s="21"/>
      <c r="R81" s="13">
        <v>39.745627980923359</v>
      </c>
      <c r="S81" s="13">
        <v>0</v>
      </c>
      <c r="T81" s="1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</row>
    <row r="82" spans="1:38" x14ac:dyDescent="0.25">
      <c r="A82" s="12"/>
      <c r="B82" s="12"/>
      <c r="C82" s="12"/>
      <c r="D82" s="12"/>
      <c r="E82" s="12"/>
      <c r="F82" s="6" t="str">
        <f>Items!$A80</f>
        <v>Power Treads</v>
      </c>
      <c r="G82" s="15"/>
      <c r="H82" s="13">
        <f>Items!AE80</f>
        <v>19.87281399046239</v>
      </c>
      <c r="I82" s="13">
        <f>Items!AF80</f>
        <v>1.4194867136044564E-2</v>
      </c>
      <c r="J82" s="1"/>
      <c r="K82" s="6" t="s">
        <v>128</v>
      </c>
      <c r="L82" s="15"/>
      <c r="M82" s="13">
        <v>6.3593004769478512</v>
      </c>
      <c r="N82" s="13">
        <v>1.4131778837661892E-2</v>
      </c>
      <c r="O82" s="1"/>
      <c r="P82" s="6" t="s">
        <v>59</v>
      </c>
      <c r="Q82" s="15"/>
      <c r="R82" s="13">
        <v>0</v>
      </c>
      <c r="S82" s="13">
        <v>0</v>
      </c>
      <c r="T82" s="1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</row>
    <row r="83" spans="1:38" x14ac:dyDescent="0.25">
      <c r="A83" s="12"/>
      <c r="B83" s="12"/>
      <c r="C83" s="12"/>
      <c r="D83" s="12"/>
      <c r="E83" s="12"/>
      <c r="F83" s="6" t="str">
        <f>Items!$A81</f>
        <v>Quarterstaff</v>
      </c>
      <c r="G83" s="15"/>
      <c r="H83" s="13">
        <f>Items!AE81</f>
        <v>7.9491255961846718</v>
      </c>
      <c r="I83" s="13">
        <f>Items!AF81</f>
        <v>9.084714967068197E-3</v>
      </c>
      <c r="J83" s="1"/>
      <c r="K83" s="6" t="s">
        <v>140</v>
      </c>
      <c r="L83" s="15"/>
      <c r="M83" s="13">
        <v>6.3593004769478512</v>
      </c>
      <c r="N83" s="13">
        <v>4.1700330996379351E-3</v>
      </c>
      <c r="O83" s="1"/>
      <c r="P83" s="6" t="s">
        <v>69</v>
      </c>
      <c r="Q83" s="15"/>
      <c r="R83" s="13">
        <v>0</v>
      </c>
      <c r="S83" s="13">
        <v>0</v>
      </c>
      <c r="T83" s="1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</row>
    <row r="84" spans="1:38" x14ac:dyDescent="0.25">
      <c r="A84" s="12"/>
      <c r="B84" s="12"/>
      <c r="C84" s="12"/>
      <c r="D84" s="12"/>
      <c r="E84" s="12"/>
      <c r="F84" s="6" t="str">
        <f>Items!$A82</f>
        <v>Divine Rapier</v>
      </c>
      <c r="G84" s="15"/>
      <c r="H84" s="13">
        <f>Items!AE82</f>
        <v>278.21939586646351</v>
      </c>
      <c r="I84" s="13">
        <f>Items!AF82</f>
        <v>4.6759562330498071E-2</v>
      </c>
      <c r="J84" s="1"/>
      <c r="K84" s="6" t="s">
        <v>131</v>
      </c>
      <c r="L84" s="15"/>
      <c r="M84" s="13">
        <v>4.7694753577108884</v>
      </c>
      <c r="N84" s="13">
        <v>1.0598834128246418E-2</v>
      </c>
      <c r="O84" s="1"/>
      <c r="P84" s="20" t="s">
        <v>71</v>
      </c>
      <c r="Q84" s="21"/>
      <c r="R84" s="13">
        <v>0</v>
      </c>
      <c r="S84" s="13">
        <v>0</v>
      </c>
      <c r="T84" s="1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</row>
    <row r="85" spans="1:38" x14ac:dyDescent="0.25">
      <c r="A85" s="12"/>
      <c r="B85" s="12"/>
      <c r="C85" s="12"/>
      <c r="D85" s="12"/>
      <c r="E85" s="12"/>
      <c r="F85" s="6" t="str">
        <f>Items!$A83</f>
        <v>Reaver</v>
      </c>
      <c r="G85" s="15"/>
      <c r="H85" s="13">
        <f>Items!AE83</f>
        <v>0</v>
      </c>
      <c r="I85" s="13">
        <f>Items!AF83</f>
        <v>0</v>
      </c>
      <c r="J85" s="1"/>
      <c r="K85" s="6" t="s">
        <v>105</v>
      </c>
      <c r="L85" s="15"/>
      <c r="M85" s="13">
        <v>4.7694753577108884</v>
      </c>
      <c r="N85" s="13">
        <v>3.4067681126506343E-2</v>
      </c>
      <c r="O85" s="1"/>
      <c r="P85" s="20" t="s">
        <v>72</v>
      </c>
      <c r="Q85" s="21"/>
      <c r="R85" s="13">
        <v>149.21644333409193</v>
      </c>
      <c r="S85" s="13">
        <v>0</v>
      </c>
      <c r="T85" s="1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</row>
    <row r="86" spans="1:38" x14ac:dyDescent="0.25">
      <c r="A86" s="12"/>
      <c r="B86" s="12"/>
      <c r="C86" s="12"/>
      <c r="D86" s="12"/>
      <c r="E86" s="12"/>
      <c r="F86" s="6" t="str">
        <f>Items!$A84</f>
        <v>Sacred Relic</v>
      </c>
      <c r="G86" s="15"/>
      <c r="H86" s="13">
        <f>Items!AE84</f>
        <v>47.694753577108031</v>
      </c>
      <c r="I86" s="13">
        <f>Items!AF84</f>
        <v>1.2718600953895475E-2</v>
      </c>
      <c r="J86" s="1"/>
      <c r="K86" s="6" t="s">
        <v>127</v>
      </c>
      <c r="L86" s="15"/>
      <c r="M86" s="13">
        <v>3.1796502384739256</v>
      </c>
      <c r="N86" s="13">
        <v>2.0513872506283389E-2</v>
      </c>
      <c r="O86" s="1"/>
      <c r="P86" s="6" t="s">
        <v>76</v>
      </c>
      <c r="Q86" s="15"/>
      <c r="R86" s="13">
        <v>0</v>
      </c>
      <c r="S86" s="13">
        <v>0</v>
      </c>
      <c r="T86" s="1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</row>
    <row r="87" spans="1:38" x14ac:dyDescent="0.25">
      <c r="A87" s="12"/>
      <c r="B87" s="12"/>
      <c r="C87" s="12"/>
      <c r="D87" s="12"/>
      <c r="E87" s="12"/>
      <c r="F87" s="6" t="str">
        <f>Items!$A85</f>
        <v>Robe of the Magi</v>
      </c>
      <c r="G87" s="15"/>
      <c r="H87" s="13">
        <f>Items!AE85</f>
        <v>0</v>
      </c>
      <c r="I87" s="13">
        <f>Items!AF85</f>
        <v>0</v>
      </c>
      <c r="J87" s="1"/>
      <c r="K87" s="6" t="s">
        <v>135</v>
      </c>
      <c r="L87" s="15"/>
      <c r="M87" s="13">
        <v>3.1796502384739256</v>
      </c>
      <c r="N87" s="13">
        <v>1.0669967243201093E-3</v>
      </c>
      <c r="O87" s="1"/>
      <c r="P87" s="20" t="s">
        <v>77</v>
      </c>
      <c r="Q87" s="21"/>
      <c r="R87" s="13">
        <v>0</v>
      </c>
      <c r="S87" s="13">
        <v>0</v>
      </c>
      <c r="T87" s="1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</row>
    <row r="88" spans="1:38" x14ac:dyDescent="0.25">
      <c r="A88" s="12"/>
      <c r="B88" s="12"/>
      <c r="C88" s="12"/>
      <c r="D88" s="12"/>
      <c r="E88" s="12"/>
      <c r="F88" s="6" t="str">
        <f>Items!$A86</f>
        <v>Rod of Atos</v>
      </c>
      <c r="G88" s="15"/>
      <c r="H88" s="13">
        <f>Items!AE86</f>
        <v>19.077901430843553</v>
      </c>
      <c r="I88" s="13">
        <f>Items!AF86</f>
        <v>6.9374187021249284E-3</v>
      </c>
      <c r="J88" s="1"/>
      <c r="K88" s="6" t="s">
        <v>139</v>
      </c>
      <c r="L88" s="15"/>
      <c r="M88" s="13">
        <v>3.1796502384739256</v>
      </c>
      <c r="N88" s="13">
        <v>3.6132389073567335E-3</v>
      </c>
      <c r="O88" s="1"/>
      <c r="P88" s="20" t="s">
        <v>78</v>
      </c>
      <c r="Q88" s="21"/>
      <c r="R88" s="13">
        <v>15.898251192369344</v>
      </c>
      <c r="S88" s="13">
        <v>0</v>
      </c>
      <c r="T88" s="1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</row>
    <row r="89" spans="1:38" x14ac:dyDescent="0.25">
      <c r="A89" s="12"/>
      <c r="B89" s="12"/>
      <c r="C89" s="12"/>
      <c r="D89" s="12"/>
      <c r="E89" s="12"/>
      <c r="F89" s="6" t="str">
        <f>Items!$A87</f>
        <v>Sange</v>
      </c>
      <c r="G89" s="15"/>
      <c r="H89" s="13">
        <f>Items!AE87</f>
        <v>0</v>
      </c>
      <c r="I89" s="13">
        <f>Items!AF87</f>
        <v>0</v>
      </c>
      <c r="J89" s="1"/>
      <c r="K89" s="6" t="s">
        <v>126</v>
      </c>
      <c r="L89" s="15"/>
      <c r="M89" s="13">
        <v>1.5898251192369628</v>
      </c>
      <c r="N89" s="13">
        <v>3.1796502384739259E-2</v>
      </c>
      <c r="O89" s="1"/>
      <c r="P89" s="20" t="s">
        <v>80</v>
      </c>
      <c r="Q89" s="21"/>
      <c r="R89" s="13">
        <v>9.5389507154216062</v>
      </c>
      <c r="S89" s="13">
        <v>0</v>
      </c>
      <c r="T89" s="1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</row>
    <row r="90" spans="1:38" x14ac:dyDescent="0.25">
      <c r="A90" s="12"/>
      <c r="B90" s="12"/>
      <c r="C90" s="12"/>
      <c r="D90" s="12"/>
      <c r="E90" s="12"/>
      <c r="F90" s="6" t="str">
        <f>Items!$A88</f>
        <v>Sange and Yasha</v>
      </c>
      <c r="G90" s="15"/>
      <c r="H90" s="13">
        <f>Items!AE88</f>
        <v>34.976152623213352</v>
      </c>
      <c r="I90" s="13">
        <f>Items!AF88</f>
        <v>8.5307689324910611E-3</v>
      </c>
      <c r="J90" s="1"/>
      <c r="K90" s="6" t="s">
        <v>75</v>
      </c>
      <c r="L90" s="15"/>
      <c r="M90" s="13">
        <v>1.5898251192369344</v>
      </c>
      <c r="N90" s="13">
        <v>2.2711787417670493E-2</v>
      </c>
      <c r="O90" s="1"/>
      <c r="P90" s="6" t="s">
        <v>37</v>
      </c>
      <c r="Q90" s="15"/>
      <c r="R90" s="13">
        <v>0</v>
      </c>
      <c r="S90" s="13">
        <v>0</v>
      </c>
      <c r="T90" s="1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</row>
    <row r="91" spans="1:38" x14ac:dyDescent="0.25">
      <c r="A91" s="12"/>
      <c r="B91" s="12"/>
      <c r="C91" s="12"/>
      <c r="D91" s="12"/>
      <c r="E91" s="12"/>
      <c r="F91" s="6" t="str">
        <f>Items!$A89</f>
        <v>Satchel</v>
      </c>
      <c r="G91" s="15"/>
      <c r="H91" s="13">
        <f>Items!AE89</f>
        <v>7.949125596184814</v>
      </c>
      <c r="I91" s="13">
        <f>Items!AF89</f>
        <v>0</v>
      </c>
      <c r="J91" s="1"/>
      <c r="K91" s="6" t="s">
        <v>59</v>
      </c>
      <c r="L91" s="15"/>
      <c r="M91" s="13">
        <v>0</v>
      </c>
      <c r="N91" s="13">
        <v>0</v>
      </c>
      <c r="O91" s="1"/>
      <c r="P91" s="6" t="s">
        <v>24</v>
      </c>
      <c r="Q91" s="15"/>
      <c r="R91" s="13">
        <v>0</v>
      </c>
      <c r="S91" s="13">
        <v>0</v>
      </c>
      <c r="T91" s="1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</row>
    <row r="92" spans="1:38" x14ac:dyDescent="0.25">
      <c r="A92" s="12"/>
      <c r="B92" s="12"/>
      <c r="C92" s="12"/>
      <c r="D92" s="12"/>
      <c r="E92" s="12"/>
      <c r="F92" s="6" t="str">
        <f>Items!$A90</f>
        <v>Scythe of Vyse</v>
      </c>
      <c r="G92" s="15"/>
      <c r="H92" s="13">
        <f>Items!AE90</f>
        <v>15.898251192369628</v>
      </c>
      <c r="I92" s="13">
        <f>Items!AF90</f>
        <v>2.8014539546025777E-3</v>
      </c>
      <c r="J92" s="1"/>
      <c r="K92" s="6" t="s">
        <v>69</v>
      </c>
      <c r="L92" s="15"/>
      <c r="M92" s="13">
        <v>0</v>
      </c>
      <c r="N92" s="13">
        <v>0</v>
      </c>
      <c r="O92" s="1"/>
      <c r="P92" s="20" t="s">
        <v>82</v>
      </c>
      <c r="Q92" s="21"/>
      <c r="R92" s="13">
        <v>20.667726550080147</v>
      </c>
      <c r="S92" s="13">
        <v>0</v>
      </c>
      <c r="T92" s="1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</row>
    <row r="93" spans="1:38" x14ac:dyDescent="0.25">
      <c r="A93" s="12"/>
      <c r="B93" s="12"/>
      <c r="C93" s="12"/>
      <c r="D93" s="12"/>
      <c r="E93" s="12"/>
      <c r="F93" s="6" t="str">
        <f>Items!$A91</f>
        <v>Shiva's Guard</v>
      </c>
      <c r="G93" s="15"/>
      <c r="H93" s="13">
        <f>Items!AE91</f>
        <v>0</v>
      </c>
      <c r="I93" s="13">
        <f>Items!AF91</f>
        <v>0</v>
      </c>
      <c r="J93" s="1"/>
      <c r="K93" s="20" t="s">
        <v>71</v>
      </c>
      <c r="L93" s="21"/>
      <c r="M93" s="13">
        <v>0</v>
      </c>
      <c r="N93" s="13">
        <v>0</v>
      </c>
      <c r="O93" s="1"/>
      <c r="P93" s="6" t="s">
        <v>85</v>
      </c>
      <c r="Q93" s="15"/>
      <c r="R93" s="13">
        <v>0</v>
      </c>
      <c r="S93" s="13">
        <v>0</v>
      </c>
      <c r="T93" s="1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</row>
    <row r="94" spans="1:38" x14ac:dyDescent="0.25">
      <c r="A94" s="12"/>
      <c r="B94" s="12"/>
      <c r="C94" s="12"/>
      <c r="D94" s="12"/>
      <c r="E94" s="12"/>
      <c r="F94" s="6" t="str">
        <f>Items!$A92</f>
        <v>Silver Edge</v>
      </c>
      <c r="G94" s="15"/>
      <c r="H94" s="13">
        <f>Items!AE92</f>
        <v>145.46899841017807</v>
      </c>
      <c r="I94" s="13">
        <f>Items!AF92</f>
        <v>2.6691559341317079E-2</v>
      </c>
      <c r="J94" s="1"/>
      <c r="K94" s="6" t="s">
        <v>76</v>
      </c>
      <c r="L94" s="15"/>
      <c r="M94" s="13">
        <v>0</v>
      </c>
      <c r="N94" s="13">
        <v>0</v>
      </c>
      <c r="O94" s="1"/>
      <c r="P94" s="20" t="s">
        <v>87</v>
      </c>
      <c r="Q94" s="21"/>
      <c r="R94" s="13">
        <v>0</v>
      </c>
      <c r="S94" s="13">
        <v>0</v>
      </c>
      <c r="T94" s="1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</row>
    <row r="95" spans="1:38" x14ac:dyDescent="0.25">
      <c r="A95" s="12"/>
      <c r="B95" s="12"/>
      <c r="C95" s="12"/>
      <c r="D95" s="12"/>
      <c r="E95" s="12"/>
      <c r="F95" s="6" t="str">
        <f>Items!$A93</f>
        <v>Slippers of Agility</v>
      </c>
      <c r="G95" s="15"/>
      <c r="H95" s="13">
        <f>Items!AE93</f>
        <v>4.7694753577108884</v>
      </c>
      <c r="I95" s="13">
        <f>Items!AF93</f>
        <v>3.4067681126506343E-2</v>
      </c>
      <c r="J95" s="1"/>
      <c r="K95" s="20" t="s">
        <v>77</v>
      </c>
      <c r="L95" s="21"/>
      <c r="M95" s="13">
        <v>0</v>
      </c>
      <c r="N95" s="13">
        <v>0</v>
      </c>
      <c r="O95" s="1"/>
      <c r="P95" s="6" t="s">
        <v>90</v>
      </c>
      <c r="Q95" s="15"/>
      <c r="R95" s="13">
        <v>0</v>
      </c>
      <c r="S95" s="13">
        <v>0</v>
      </c>
      <c r="T95" s="1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</row>
    <row r="96" spans="1:38" x14ac:dyDescent="0.25">
      <c r="A96" s="12"/>
      <c r="B96" s="12"/>
      <c r="C96" s="12"/>
      <c r="D96" s="12"/>
      <c r="E96" s="12"/>
      <c r="F96" s="6" t="str">
        <f>Items!$A94</f>
        <v>Solar Crest</v>
      </c>
      <c r="G96" s="15"/>
      <c r="H96" s="13">
        <f>Items!AE94</f>
        <v>7.949125596184814</v>
      </c>
      <c r="I96" s="13">
        <f>Items!AF94</f>
        <v>3.0282383223561196E-3</v>
      </c>
      <c r="J96" s="1"/>
      <c r="K96" s="6" t="s">
        <v>37</v>
      </c>
      <c r="L96" s="15"/>
      <c r="M96" s="13">
        <v>0</v>
      </c>
      <c r="N96" s="13">
        <v>0</v>
      </c>
      <c r="O96" s="1"/>
      <c r="P96" s="6" t="s">
        <v>92</v>
      </c>
      <c r="Q96" s="15"/>
      <c r="R96" s="13">
        <v>0</v>
      </c>
      <c r="S96" s="13">
        <v>0</v>
      </c>
      <c r="T96" s="1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</row>
    <row r="97" spans="1:38" x14ac:dyDescent="0.25">
      <c r="A97" s="12"/>
      <c r="B97" s="12"/>
      <c r="C97" s="12"/>
      <c r="D97" s="12"/>
      <c r="E97" s="12"/>
      <c r="F97" s="6" t="str">
        <f>Items!$A95</f>
        <v>Linken's Sphere</v>
      </c>
      <c r="G97" s="15"/>
      <c r="H97" s="13">
        <f>Items!AE95</f>
        <v>25.437201907791405</v>
      </c>
      <c r="I97" s="13">
        <f>Items!AF95</f>
        <v>5.5298265016937836E-3</v>
      </c>
      <c r="J97" s="1"/>
      <c r="K97" s="6" t="s">
        <v>24</v>
      </c>
      <c r="L97" s="15"/>
      <c r="M97" s="13">
        <v>0</v>
      </c>
      <c r="N97" s="13">
        <v>0</v>
      </c>
      <c r="O97" s="1"/>
      <c r="P97" s="6" t="s">
        <v>93</v>
      </c>
      <c r="Q97" s="15"/>
      <c r="R97" s="13">
        <v>0</v>
      </c>
      <c r="S97" s="13">
        <v>0</v>
      </c>
      <c r="T97" s="1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</row>
    <row r="98" spans="1:38" x14ac:dyDescent="0.25">
      <c r="A98" s="12"/>
      <c r="B98" s="12"/>
      <c r="C98" s="12"/>
      <c r="D98" s="12"/>
      <c r="E98" s="12"/>
      <c r="F98" s="6" t="str">
        <f>Items!$A96</f>
        <v>Spirit Vessel</v>
      </c>
      <c r="G98" s="15"/>
      <c r="H98" s="13">
        <f>Items!AE96</f>
        <v>3.1796502384739256</v>
      </c>
      <c r="I98" s="13">
        <f>Items!AF96</f>
        <v>1.0669967243201093E-3</v>
      </c>
      <c r="J98" s="1"/>
      <c r="K98" s="6" t="s">
        <v>85</v>
      </c>
      <c r="L98" s="15"/>
      <c r="M98" s="13">
        <v>0</v>
      </c>
      <c r="N98" s="13">
        <v>0</v>
      </c>
      <c r="O98" s="1"/>
      <c r="P98" s="20" t="s">
        <v>95</v>
      </c>
      <c r="Q98" s="21"/>
      <c r="R98" s="13">
        <v>-23.847376788554016</v>
      </c>
      <c r="S98" s="13">
        <v>0</v>
      </c>
      <c r="T98" s="1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</row>
    <row r="99" spans="1:38" x14ac:dyDescent="0.25">
      <c r="A99" s="12"/>
      <c r="B99" s="12"/>
      <c r="C99" s="12"/>
      <c r="D99" s="12"/>
      <c r="E99" s="12"/>
      <c r="F99" s="6" t="str">
        <f>Items!$A97</f>
        <v>Staff of Wizardry</v>
      </c>
      <c r="G99" s="15"/>
      <c r="H99" s="13">
        <f>Items!AE97</f>
        <v>0</v>
      </c>
      <c r="I99" s="13">
        <f>Items!AF97</f>
        <v>0</v>
      </c>
      <c r="J99" s="1"/>
      <c r="K99" s="20" t="s">
        <v>87</v>
      </c>
      <c r="L99" s="21"/>
      <c r="M99" s="13">
        <v>0</v>
      </c>
      <c r="N99" s="13">
        <v>0</v>
      </c>
      <c r="O99" s="1"/>
      <c r="P99" s="20" t="s">
        <v>96</v>
      </c>
      <c r="Q99" s="21"/>
      <c r="R99" s="13">
        <v>12.718600953895702</v>
      </c>
      <c r="S99" s="13">
        <v>0</v>
      </c>
      <c r="T99" s="1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</row>
    <row r="100" spans="1:38" x14ac:dyDescent="0.25">
      <c r="A100" s="12"/>
      <c r="B100" s="12"/>
      <c r="C100" s="12"/>
      <c r="D100" s="12"/>
      <c r="E100" s="12"/>
      <c r="F100" s="6" t="str">
        <f>Items!$A98</f>
        <v>Third Eye</v>
      </c>
      <c r="G100" s="15"/>
      <c r="H100" s="13">
        <f>Items!AE98</f>
        <v>11.12877583465874</v>
      </c>
      <c r="I100" s="13">
        <f>Items!AF98</f>
        <v>0</v>
      </c>
      <c r="J100" s="1"/>
      <c r="K100" s="6" t="s">
        <v>90</v>
      </c>
      <c r="L100" s="15"/>
      <c r="M100" s="13">
        <v>0</v>
      </c>
      <c r="N100" s="13">
        <v>0</v>
      </c>
      <c r="O100" s="1"/>
      <c r="P100" s="6" t="s">
        <v>99</v>
      </c>
      <c r="Q100" s="15"/>
      <c r="R100" s="13">
        <v>0</v>
      </c>
      <c r="S100" s="13">
        <v>0</v>
      </c>
      <c r="T100" s="1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</row>
    <row r="101" spans="1:38" x14ac:dyDescent="0.25">
      <c r="A101" s="12"/>
      <c r="B101" s="12"/>
      <c r="C101" s="12"/>
      <c r="D101" s="12"/>
      <c r="E101" s="12"/>
      <c r="F101" s="6" t="str">
        <f>Items!$A99</f>
        <v>Trident</v>
      </c>
      <c r="G101" s="15"/>
      <c r="H101" s="13">
        <f>Items!AE99</f>
        <v>71.542130365663752</v>
      </c>
      <c r="I101" s="13">
        <f>Items!AF99</f>
        <v>0</v>
      </c>
      <c r="J101" s="1"/>
      <c r="K101" s="6" t="s">
        <v>92</v>
      </c>
      <c r="L101" s="15"/>
      <c r="M101" s="13">
        <v>0</v>
      </c>
      <c r="N101" s="13">
        <v>0</v>
      </c>
      <c r="O101" s="1"/>
      <c r="P101" s="6" t="s">
        <v>101</v>
      </c>
      <c r="Q101" s="15"/>
      <c r="R101" s="13">
        <v>0</v>
      </c>
      <c r="S101" s="13">
        <v>0</v>
      </c>
      <c r="T101" s="1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</row>
    <row r="102" spans="1:38" x14ac:dyDescent="0.25">
      <c r="A102" s="12"/>
      <c r="B102" s="12"/>
      <c r="C102" s="12"/>
      <c r="D102" s="12"/>
      <c r="E102" s="12"/>
      <c r="F102" s="6" t="str">
        <f>Items!$A100</f>
        <v>Ultimate Orb</v>
      </c>
      <c r="G102" s="15"/>
      <c r="H102" s="13">
        <f>Items!AE100</f>
        <v>15.898251192369628</v>
      </c>
      <c r="I102" s="13">
        <f>Items!AF100</f>
        <v>7.7552444840827449E-3</v>
      </c>
      <c r="J102" s="1"/>
      <c r="K102" s="6" t="s">
        <v>93</v>
      </c>
      <c r="L102" s="15"/>
      <c r="M102" s="13">
        <v>0</v>
      </c>
      <c r="N102" s="13">
        <v>0</v>
      </c>
      <c r="O102" s="1"/>
      <c r="P102" s="6" t="s">
        <v>23</v>
      </c>
      <c r="Q102" s="15"/>
      <c r="R102" s="13">
        <v>0</v>
      </c>
      <c r="S102" s="13">
        <v>0</v>
      </c>
      <c r="T102" s="1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</row>
    <row r="103" spans="1:38" x14ac:dyDescent="0.25">
      <c r="A103" s="12"/>
      <c r="B103" s="12"/>
      <c r="C103" s="12"/>
      <c r="D103" s="12"/>
      <c r="E103" s="12"/>
      <c r="F103" s="6" t="str">
        <f>Items!$A101</f>
        <v>Aghanim's Scepter</v>
      </c>
      <c r="G103" s="15"/>
      <c r="H103" s="13">
        <f>Items!AE101</f>
        <v>15.898251192369628</v>
      </c>
      <c r="I103" s="13">
        <f>Items!AF101</f>
        <v>3.7852979029451496E-3</v>
      </c>
      <c r="J103" s="1"/>
      <c r="K103" s="6" t="s">
        <v>99</v>
      </c>
      <c r="L103" s="15"/>
      <c r="M103" s="13">
        <v>0</v>
      </c>
      <c r="N103" s="13">
        <v>0</v>
      </c>
      <c r="O103" s="1"/>
      <c r="P103" s="20" t="s">
        <v>132</v>
      </c>
      <c r="Q103" s="21"/>
      <c r="R103" s="13">
        <v>7.949125596184814</v>
      </c>
      <c r="S103" s="13">
        <v>0</v>
      </c>
      <c r="T103" s="1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</row>
    <row r="104" spans="1:38" x14ac:dyDescent="0.25">
      <c r="A104" s="12"/>
      <c r="B104" s="12"/>
      <c r="C104" s="12"/>
      <c r="D104" s="12"/>
      <c r="E104" s="12"/>
      <c r="F104" s="6" t="str">
        <f>Items!$A102</f>
        <v>Urn of Shadows</v>
      </c>
      <c r="G104" s="15"/>
      <c r="H104" s="13">
        <f>Items!AE102</f>
        <v>3.1796502384739256</v>
      </c>
      <c r="I104" s="13">
        <f>Items!AF102</f>
        <v>3.6132389073567335E-3</v>
      </c>
      <c r="J104" s="1"/>
      <c r="K104" s="6" t="s">
        <v>101</v>
      </c>
      <c r="L104" s="15"/>
      <c r="M104" s="13">
        <v>0</v>
      </c>
      <c r="N104" s="13">
        <v>0</v>
      </c>
      <c r="O104" s="1"/>
      <c r="P104" s="6" t="s">
        <v>104</v>
      </c>
      <c r="Q104" s="15"/>
      <c r="R104" s="13">
        <v>0</v>
      </c>
      <c r="S104" s="13">
        <v>0</v>
      </c>
      <c r="T104" s="1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</row>
    <row r="105" spans="1:38" x14ac:dyDescent="0.25">
      <c r="A105" s="12"/>
      <c r="B105" s="12"/>
      <c r="C105" s="12"/>
      <c r="D105" s="12"/>
      <c r="E105" s="12"/>
      <c r="F105" s="6" t="str">
        <f>Items!$A103</f>
        <v>Vambrace</v>
      </c>
      <c r="G105" s="15"/>
      <c r="H105" s="13">
        <f>Items!AE103</f>
        <v>7.9491255961849561</v>
      </c>
      <c r="I105" s="13">
        <f>Items!AF103</f>
        <v>0</v>
      </c>
      <c r="J105" s="1"/>
      <c r="K105" s="6" t="s">
        <v>23</v>
      </c>
      <c r="L105" s="15"/>
      <c r="M105" s="13">
        <v>0</v>
      </c>
      <c r="N105" s="13">
        <v>0</v>
      </c>
      <c r="O105" s="1"/>
      <c r="P105" s="6" t="s">
        <v>106</v>
      </c>
      <c r="Q105" s="15"/>
      <c r="R105" s="13">
        <v>0</v>
      </c>
      <c r="S105" s="13">
        <v>0</v>
      </c>
      <c r="T105" s="1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</row>
    <row r="106" spans="1:38" x14ac:dyDescent="0.25">
      <c r="A106" s="12"/>
      <c r="B106" s="12"/>
      <c r="C106" s="12"/>
      <c r="D106" s="12"/>
      <c r="E106" s="12"/>
      <c r="F106" s="6" t="str">
        <f>Items!$A104</f>
        <v>Veil of Discord</v>
      </c>
      <c r="G106" s="15"/>
      <c r="H106" s="13">
        <f>Items!AE104</f>
        <v>6.3593004769478512</v>
      </c>
      <c r="I106" s="13">
        <f>Items!AF104</f>
        <v>4.1700330996379351E-3</v>
      </c>
      <c r="J106" s="1"/>
      <c r="K106" s="6" t="s">
        <v>104</v>
      </c>
      <c r="L106" s="15"/>
      <c r="M106" s="13">
        <v>0</v>
      </c>
      <c r="N106" s="13">
        <v>0</v>
      </c>
      <c r="O106" s="1"/>
      <c r="P106" s="20" t="s">
        <v>136</v>
      </c>
      <c r="Q106" s="21"/>
      <c r="R106" s="13">
        <v>11.12877583465874</v>
      </c>
      <c r="S106" s="13">
        <v>0</v>
      </c>
      <c r="T106" s="1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</row>
    <row r="107" spans="1:38" x14ac:dyDescent="0.25">
      <c r="A107" s="12"/>
      <c r="B107" s="12"/>
      <c r="C107" s="12"/>
      <c r="D107" s="12"/>
      <c r="E107" s="12"/>
      <c r="F107" s="6" t="str">
        <f>Items!$A105</f>
        <v>Warhammer</v>
      </c>
      <c r="G107" s="15"/>
      <c r="H107" s="13">
        <f>Items!AE105</f>
        <v>0</v>
      </c>
      <c r="I107" s="13">
        <f>Items!AF105</f>
        <v>0</v>
      </c>
      <c r="J107" s="1"/>
      <c r="K107" s="6" t="s">
        <v>106</v>
      </c>
      <c r="L107" s="15"/>
      <c r="M107" s="13">
        <v>0</v>
      </c>
      <c r="N107" s="13">
        <v>0</v>
      </c>
      <c r="O107" s="1"/>
      <c r="P107" s="20" t="s">
        <v>107</v>
      </c>
      <c r="Q107" s="21"/>
      <c r="R107" s="13">
        <v>71.542130365663752</v>
      </c>
      <c r="S107" s="13">
        <v>0</v>
      </c>
      <c r="T107" s="1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</row>
    <row r="108" spans="1:38" x14ac:dyDescent="0.25">
      <c r="A108" s="12"/>
      <c r="B108" s="12"/>
      <c r="C108" s="12"/>
      <c r="D108" s="12"/>
      <c r="E108" s="12"/>
      <c r="F108" s="6" t="str">
        <f>Items!$A106</f>
        <v>Wind Waker</v>
      </c>
      <c r="G108" s="15"/>
      <c r="H108" s="13">
        <f>Items!AE106</f>
        <v>0</v>
      </c>
      <c r="I108" s="13">
        <f>Items!AF106</f>
        <v>0</v>
      </c>
      <c r="J108" s="1"/>
      <c r="K108" s="20" t="s">
        <v>109</v>
      </c>
      <c r="L108" s="21"/>
      <c r="M108" s="13">
        <v>0</v>
      </c>
      <c r="N108" s="13">
        <v>0</v>
      </c>
      <c r="O108" s="1"/>
      <c r="P108" s="20" t="s">
        <v>108</v>
      </c>
      <c r="Q108" s="21"/>
      <c r="R108" s="13">
        <v>7.9491255961849561</v>
      </c>
      <c r="S108" s="13">
        <v>0</v>
      </c>
      <c r="T108" s="1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</row>
    <row r="109" spans="1:38" x14ac:dyDescent="0.25">
      <c r="A109" s="12"/>
      <c r="B109" s="12"/>
      <c r="C109" s="12"/>
      <c r="D109" s="12"/>
      <c r="E109" s="12"/>
      <c r="F109" s="6" t="str">
        <f>Items!$A107</f>
        <v>Witch Blade</v>
      </c>
      <c r="G109" s="15"/>
      <c r="H109" s="13">
        <f>Items!AE107</f>
        <v>27.821939586647346</v>
      </c>
      <c r="I109" s="13">
        <f>Items!AF107</f>
        <v>1.0700745994864364E-2</v>
      </c>
      <c r="J109" s="1"/>
      <c r="K109" s="6" t="s">
        <v>110</v>
      </c>
      <c r="L109" s="15"/>
      <c r="M109" s="13">
        <v>0</v>
      </c>
      <c r="N109" s="13">
        <v>0</v>
      </c>
      <c r="O109" s="1"/>
      <c r="P109" s="20" t="s">
        <v>109</v>
      </c>
      <c r="Q109" s="21"/>
      <c r="R109" s="13">
        <v>0</v>
      </c>
      <c r="S109" s="13">
        <v>0</v>
      </c>
      <c r="T109" s="1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</row>
    <row r="110" spans="1:38" x14ac:dyDescent="0.25">
      <c r="A110" s="12"/>
      <c r="B110" s="12"/>
      <c r="C110" s="12"/>
      <c r="D110" s="12"/>
      <c r="E110" s="12"/>
      <c r="F110" s="6" t="str">
        <f>Items!$A108</f>
        <v>Yasha</v>
      </c>
      <c r="G110" s="15"/>
      <c r="H110" s="13">
        <f>Items!AE108</f>
        <v>34.976152623213352</v>
      </c>
      <c r="I110" s="13">
        <f>Items!AF108</f>
        <v>1.7061537864982122E-2</v>
      </c>
      <c r="J110" s="1"/>
      <c r="K110" s="6">
        <v>0</v>
      </c>
      <c r="L110" s="15"/>
      <c r="M110" s="13">
        <v>0</v>
      </c>
      <c r="N110" s="13">
        <v>0</v>
      </c>
      <c r="O110" s="1"/>
      <c r="P110" s="6" t="s">
        <v>110</v>
      </c>
      <c r="Q110" s="15"/>
      <c r="R110" s="13">
        <v>0</v>
      </c>
      <c r="S110" s="13">
        <v>0</v>
      </c>
      <c r="T110" s="1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</row>
    <row r="111" spans="1:38" x14ac:dyDescent="0.25">
      <c r="A111" s="12"/>
      <c r="B111" s="12"/>
      <c r="C111" s="12"/>
      <c r="D111" s="12"/>
      <c r="E111" s="12"/>
      <c r="F111" s="6">
        <f>Items!$A109</f>
        <v>0</v>
      </c>
      <c r="G111" s="15"/>
      <c r="H111" s="13">
        <f>Items!AE109</f>
        <v>0</v>
      </c>
      <c r="I111" s="13">
        <f>Items!AF109</f>
        <v>0</v>
      </c>
      <c r="J111" s="1"/>
      <c r="K111" s="6">
        <v>0</v>
      </c>
      <c r="L111" s="15"/>
      <c r="M111" s="13">
        <v>0</v>
      </c>
      <c r="N111" s="13">
        <v>0</v>
      </c>
      <c r="O111" s="1"/>
      <c r="P111" s="6">
        <v>0</v>
      </c>
      <c r="Q111" s="15"/>
      <c r="R111" s="13">
        <v>0</v>
      </c>
      <c r="S111" s="13">
        <v>0</v>
      </c>
      <c r="T111" s="1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</row>
    <row r="112" spans="1:38" x14ac:dyDescent="0.25">
      <c r="A112" s="12"/>
      <c r="B112" s="12"/>
      <c r="C112" s="12"/>
      <c r="D112" s="12"/>
      <c r="E112" s="12"/>
      <c r="F112" s="6">
        <f>Items!$A110</f>
        <v>0</v>
      </c>
      <c r="G112" s="15"/>
      <c r="H112" s="13">
        <f>Items!AE110</f>
        <v>0</v>
      </c>
      <c r="I112" s="13">
        <f>Items!AF110</f>
        <v>0</v>
      </c>
      <c r="J112" s="1"/>
      <c r="K112" s="6">
        <v>0</v>
      </c>
      <c r="L112" s="15"/>
      <c r="M112" s="13">
        <v>0</v>
      </c>
      <c r="N112" s="13">
        <v>0</v>
      </c>
      <c r="O112" s="1"/>
      <c r="P112" s="6">
        <v>0</v>
      </c>
      <c r="Q112" s="15"/>
      <c r="R112" s="13">
        <v>0</v>
      </c>
      <c r="S112" s="13">
        <v>0</v>
      </c>
      <c r="T112" s="1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</row>
    <row r="113" spans="1:38" x14ac:dyDescent="0.25">
      <c r="A113" s="12"/>
      <c r="B113" s="12"/>
      <c r="C113" s="12"/>
      <c r="D113" s="12"/>
      <c r="E113" s="12"/>
      <c r="F113" s="6">
        <f>Items!$A111</f>
        <v>0</v>
      </c>
      <c r="G113" s="15"/>
      <c r="H113" s="13">
        <f>Items!AE111</f>
        <v>0</v>
      </c>
      <c r="I113" s="13">
        <f>Items!AF111</f>
        <v>0</v>
      </c>
      <c r="J113" s="1"/>
      <c r="K113" s="6">
        <v>0</v>
      </c>
      <c r="L113" s="15"/>
      <c r="M113" s="13">
        <v>0</v>
      </c>
      <c r="N113" s="13">
        <v>0</v>
      </c>
      <c r="O113" s="1"/>
      <c r="P113" s="6">
        <v>0</v>
      </c>
      <c r="Q113" s="15"/>
      <c r="R113" s="13">
        <v>0</v>
      </c>
      <c r="S113" s="13">
        <v>0</v>
      </c>
      <c r="T113" s="1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</row>
    <row r="114" spans="1:38" x14ac:dyDescent="0.25">
      <c r="A114" s="12"/>
      <c r="B114" s="12"/>
      <c r="C114" s="12"/>
      <c r="D114" s="12"/>
      <c r="E114" s="12"/>
      <c r="F114" s="6">
        <f>Items!$A112</f>
        <v>0</v>
      </c>
      <c r="G114" s="15"/>
      <c r="H114" s="13">
        <f>Items!AE112</f>
        <v>0</v>
      </c>
      <c r="I114" s="13">
        <f>Items!AF112</f>
        <v>0</v>
      </c>
      <c r="J114" s="1"/>
      <c r="K114" s="6">
        <v>0</v>
      </c>
      <c r="L114" s="15"/>
      <c r="M114" s="13">
        <v>0</v>
      </c>
      <c r="N114" s="13">
        <v>0</v>
      </c>
      <c r="O114" s="1"/>
      <c r="P114" s="6">
        <v>0</v>
      </c>
      <c r="Q114" s="15"/>
      <c r="R114" s="13">
        <v>0</v>
      </c>
      <c r="S114" s="13">
        <v>0</v>
      </c>
      <c r="T114" s="1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</row>
    <row r="115" spans="1:38" x14ac:dyDescent="0.25">
      <c r="A115" s="12"/>
      <c r="B115" s="12"/>
      <c r="C115" s="12"/>
      <c r="D115" s="12"/>
      <c r="E115" s="12"/>
      <c r="F115" s="6">
        <f>Items!$A113</f>
        <v>0</v>
      </c>
      <c r="G115" s="15"/>
      <c r="H115" s="13">
        <f>Items!AE113</f>
        <v>0</v>
      </c>
      <c r="I115" s="13">
        <f>Items!AF113</f>
        <v>0</v>
      </c>
      <c r="J115" s="1"/>
      <c r="K115" s="6">
        <v>0</v>
      </c>
      <c r="L115" s="15"/>
      <c r="M115" s="13">
        <v>0</v>
      </c>
      <c r="N115" s="13">
        <v>0</v>
      </c>
      <c r="O115" s="1"/>
      <c r="P115" s="6">
        <v>0</v>
      </c>
      <c r="Q115" s="15"/>
      <c r="R115" s="13">
        <v>0</v>
      </c>
      <c r="S115" s="13">
        <v>0</v>
      </c>
      <c r="T115" s="1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</row>
    <row r="116" spans="1:38" x14ac:dyDescent="0.25">
      <c r="A116" s="12"/>
      <c r="B116" s="12"/>
      <c r="C116" s="12"/>
      <c r="D116" s="12"/>
      <c r="E116" s="12"/>
      <c r="F116" s="6">
        <f>Items!$A114</f>
        <v>0</v>
      </c>
      <c r="G116" s="15"/>
      <c r="H116" s="13">
        <f>Items!AE114</f>
        <v>0</v>
      </c>
      <c r="I116" s="13">
        <f>Items!AF114</f>
        <v>0</v>
      </c>
      <c r="J116" s="1"/>
      <c r="K116" s="6">
        <v>0</v>
      </c>
      <c r="L116" s="15"/>
      <c r="M116" s="13">
        <v>0</v>
      </c>
      <c r="N116" s="13">
        <v>0</v>
      </c>
      <c r="O116" s="1"/>
      <c r="P116" s="6">
        <v>0</v>
      </c>
      <c r="Q116" s="15"/>
      <c r="R116" s="13">
        <v>0</v>
      </c>
      <c r="S116" s="13">
        <v>0</v>
      </c>
      <c r="T116" s="1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</row>
    <row r="117" spans="1:38" x14ac:dyDescent="0.25">
      <c r="A117" s="12"/>
      <c r="B117" s="12"/>
      <c r="C117" s="12"/>
      <c r="D117" s="12"/>
      <c r="E117" s="12"/>
      <c r="F117" s="6">
        <f>Items!$A115</f>
        <v>0</v>
      </c>
      <c r="G117" s="15"/>
      <c r="H117" s="13">
        <f>Items!AE115</f>
        <v>0</v>
      </c>
      <c r="I117" s="13">
        <f>Items!AF115</f>
        <v>0</v>
      </c>
      <c r="J117" s="1"/>
      <c r="K117" s="6">
        <v>0</v>
      </c>
      <c r="L117" s="15"/>
      <c r="M117" s="13">
        <v>0</v>
      </c>
      <c r="N117" s="13">
        <v>0</v>
      </c>
      <c r="O117" s="1"/>
      <c r="P117" s="6">
        <v>0</v>
      </c>
      <c r="Q117" s="15"/>
      <c r="R117" s="13">
        <v>0</v>
      </c>
      <c r="S117" s="13">
        <v>0</v>
      </c>
      <c r="T117" s="1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</row>
    <row r="118" spans="1:38" x14ac:dyDescent="0.25">
      <c r="A118" s="12"/>
      <c r="B118" s="12"/>
      <c r="C118" s="12"/>
      <c r="D118" s="12"/>
      <c r="E118" s="12"/>
      <c r="F118" s="6">
        <f>Items!$A116</f>
        <v>0</v>
      </c>
      <c r="G118" s="15"/>
      <c r="H118" s="13">
        <f>Items!AE116</f>
        <v>0</v>
      </c>
      <c r="I118" s="13">
        <f>Items!AF116</f>
        <v>0</v>
      </c>
      <c r="J118" s="1"/>
      <c r="K118" s="6">
        <v>0</v>
      </c>
      <c r="L118" s="15"/>
      <c r="M118" s="13">
        <v>0</v>
      </c>
      <c r="N118" s="13">
        <v>0</v>
      </c>
      <c r="O118" s="1"/>
      <c r="P118" s="6">
        <v>0</v>
      </c>
      <c r="Q118" s="15"/>
      <c r="R118" s="13">
        <v>0</v>
      </c>
      <c r="S118" s="13">
        <v>0</v>
      </c>
      <c r="T118" s="1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</row>
    <row r="119" spans="1:38" x14ac:dyDescent="0.25">
      <c r="A119" s="12"/>
      <c r="B119" s="12"/>
      <c r="C119" s="12"/>
      <c r="D119" s="12"/>
      <c r="E119" s="12"/>
      <c r="F119" s="6">
        <f>Items!$A117</f>
        <v>0</v>
      </c>
      <c r="G119" s="15"/>
      <c r="H119" s="13">
        <f>Items!AE117</f>
        <v>0</v>
      </c>
      <c r="I119" s="13">
        <f>Items!AF117</f>
        <v>0</v>
      </c>
      <c r="J119" s="1"/>
      <c r="K119" s="6">
        <v>0</v>
      </c>
      <c r="L119" s="15"/>
      <c r="M119" s="13">
        <v>0</v>
      </c>
      <c r="N119" s="13">
        <v>0</v>
      </c>
      <c r="O119" s="1"/>
      <c r="P119" s="6">
        <v>0</v>
      </c>
      <c r="Q119" s="15"/>
      <c r="R119" s="13">
        <v>0</v>
      </c>
      <c r="S119" s="13">
        <v>0</v>
      </c>
      <c r="T119" s="1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</row>
    <row r="120" spans="1:38" x14ac:dyDescent="0.25">
      <c r="A120" s="12"/>
      <c r="B120" s="12"/>
      <c r="C120" s="12"/>
      <c r="D120" s="12"/>
      <c r="E120" s="12"/>
      <c r="F120" s="6">
        <f>Items!$A118</f>
        <v>0</v>
      </c>
      <c r="G120" s="15"/>
      <c r="H120" s="13">
        <f>Items!AE118</f>
        <v>0</v>
      </c>
      <c r="I120" s="13">
        <f>Items!AF118</f>
        <v>0</v>
      </c>
      <c r="J120" s="1"/>
      <c r="K120" s="6">
        <v>0</v>
      </c>
      <c r="L120" s="15"/>
      <c r="M120" s="13">
        <v>0</v>
      </c>
      <c r="N120" s="13">
        <v>0</v>
      </c>
      <c r="O120" s="1"/>
      <c r="P120" s="6">
        <v>0</v>
      </c>
      <c r="Q120" s="15"/>
      <c r="R120" s="13">
        <v>0</v>
      </c>
      <c r="S120" s="13">
        <v>0</v>
      </c>
      <c r="T120" s="1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</row>
    <row r="121" spans="1:38" x14ac:dyDescent="0.25">
      <c r="A121" s="12"/>
      <c r="B121" s="12"/>
      <c r="C121" s="12"/>
      <c r="D121" s="12"/>
      <c r="E121" s="12"/>
      <c r="F121" s="6">
        <f>Items!$A119</f>
        <v>0</v>
      </c>
      <c r="G121" s="15"/>
      <c r="H121" s="13">
        <f>Items!AE119</f>
        <v>0</v>
      </c>
      <c r="I121" s="13">
        <f>Items!AF119</f>
        <v>0</v>
      </c>
      <c r="J121" s="1"/>
      <c r="K121" s="6">
        <v>0</v>
      </c>
      <c r="L121" s="15"/>
      <c r="M121" s="13">
        <v>0</v>
      </c>
      <c r="N121" s="13">
        <v>0</v>
      </c>
      <c r="O121" s="1"/>
      <c r="P121" s="6">
        <v>0</v>
      </c>
      <c r="Q121" s="15"/>
      <c r="R121" s="13">
        <v>0</v>
      </c>
      <c r="S121" s="13">
        <v>0</v>
      </c>
      <c r="T121" s="1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</row>
    <row r="122" spans="1:38" x14ac:dyDescent="0.25">
      <c r="A122" s="12"/>
      <c r="B122" s="12"/>
      <c r="C122" s="12"/>
      <c r="D122" s="12"/>
      <c r="E122" s="12"/>
      <c r="F122" s="6">
        <f>Items!$A120</f>
        <v>0</v>
      </c>
      <c r="G122" s="15"/>
      <c r="H122" s="13">
        <f>Items!AE120</f>
        <v>0</v>
      </c>
      <c r="I122" s="13">
        <f>Items!AF120</f>
        <v>0</v>
      </c>
      <c r="J122" s="1"/>
      <c r="K122" s="6">
        <v>0</v>
      </c>
      <c r="L122" s="15"/>
      <c r="M122" s="13">
        <v>0</v>
      </c>
      <c r="N122" s="13">
        <v>0</v>
      </c>
      <c r="O122" s="1"/>
      <c r="P122" s="6">
        <v>0</v>
      </c>
      <c r="Q122" s="15"/>
      <c r="R122" s="13">
        <v>0</v>
      </c>
      <c r="S122" s="13">
        <v>0</v>
      </c>
      <c r="T122" s="1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</row>
    <row r="123" spans="1:38" x14ac:dyDescent="0.25">
      <c r="A123" s="12"/>
      <c r="B123" s="12"/>
      <c r="C123" s="12"/>
      <c r="D123" s="12"/>
      <c r="E123" s="12"/>
      <c r="F123" s="6">
        <f>Items!$A121</f>
        <v>0</v>
      </c>
      <c r="G123" s="15"/>
      <c r="H123" s="13">
        <f>Items!AE121</f>
        <v>0</v>
      </c>
      <c r="I123" s="13">
        <f>Items!AF121</f>
        <v>0</v>
      </c>
      <c r="J123" s="1"/>
      <c r="K123" s="6">
        <v>0</v>
      </c>
      <c r="L123" s="15"/>
      <c r="M123" s="13">
        <v>0</v>
      </c>
      <c r="N123" s="13">
        <v>0</v>
      </c>
      <c r="O123" s="1"/>
      <c r="P123" s="6">
        <v>0</v>
      </c>
      <c r="Q123" s="15"/>
      <c r="R123" s="13">
        <v>0</v>
      </c>
      <c r="S123" s="13">
        <v>0</v>
      </c>
      <c r="T123" s="1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</row>
    <row r="124" spans="1:38" x14ac:dyDescent="0.25">
      <c r="A124" s="12"/>
      <c r="B124" s="12"/>
      <c r="C124" s="12"/>
      <c r="D124" s="12"/>
      <c r="E124" s="12"/>
      <c r="F124" s="6">
        <f>Items!$A122</f>
        <v>0</v>
      </c>
      <c r="G124" s="15"/>
      <c r="H124" s="13">
        <f>Items!AE122</f>
        <v>0</v>
      </c>
      <c r="I124" s="13">
        <f>Items!AF122</f>
        <v>0</v>
      </c>
      <c r="J124" s="1"/>
      <c r="K124" s="6">
        <v>0</v>
      </c>
      <c r="L124" s="15"/>
      <c r="M124" s="13">
        <v>0</v>
      </c>
      <c r="N124" s="13">
        <v>0</v>
      </c>
      <c r="O124" s="1"/>
      <c r="P124" s="6">
        <v>0</v>
      </c>
      <c r="Q124" s="15"/>
      <c r="R124" s="13">
        <v>0</v>
      </c>
      <c r="S124" s="13">
        <v>0</v>
      </c>
      <c r="T124" s="1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</row>
    <row r="125" spans="1:38" x14ac:dyDescent="0.25">
      <c r="A125" s="12"/>
      <c r="B125" s="12"/>
      <c r="C125" s="12"/>
      <c r="D125" s="12"/>
      <c r="E125" s="12"/>
      <c r="F125" s="6">
        <f>Items!$A123</f>
        <v>0</v>
      </c>
      <c r="G125" s="15"/>
      <c r="H125" s="13">
        <f>Items!AE123</f>
        <v>0</v>
      </c>
      <c r="I125" s="13">
        <f>Items!AF123</f>
        <v>0</v>
      </c>
      <c r="J125" s="1"/>
      <c r="K125" s="6">
        <v>0</v>
      </c>
      <c r="L125" s="15"/>
      <c r="M125" s="13">
        <v>0</v>
      </c>
      <c r="N125" s="13">
        <v>0</v>
      </c>
      <c r="O125" s="1"/>
      <c r="P125" s="6">
        <v>0</v>
      </c>
      <c r="Q125" s="15"/>
      <c r="R125" s="13">
        <v>0</v>
      </c>
      <c r="S125" s="13">
        <v>0</v>
      </c>
      <c r="T125" s="1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</row>
    <row r="126" spans="1:38" x14ac:dyDescent="0.25">
      <c r="A126" s="12"/>
      <c r="B126" s="12"/>
      <c r="C126" s="12"/>
      <c r="D126" s="12"/>
      <c r="E126" s="12"/>
      <c r="F126" s="6">
        <f>Items!$A124</f>
        <v>0</v>
      </c>
      <c r="G126" s="15"/>
      <c r="H126" s="13">
        <f>Items!AE124</f>
        <v>0</v>
      </c>
      <c r="I126" s="13">
        <f>Items!AF124</f>
        <v>0</v>
      </c>
      <c r="J126" s="1"/>
      <c r="K126" s="6">
        <v>0</v>
      </c>
      <c r="L126" s="15"/>
      <c r="M126" s="13">
        <v>0</v>
      </c>
      <c r="N126" s="13">
        <v>0</v>
      </c>
      <c r="O126" s="1"/>
      <c r="P126" s="6">
        <v>0</v>
      </c>
      <c r="Q126" s="15"/>
      <c r="R126" s="13">
        <v>0</v>
      </c>
      <c r="S126" s="13">
        <v>0</v>
      </c>
      <c r="T126" s="1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</row>
    <row r="127" spans="1:38" x14ac:dyDescent="0.25">
      <c r="A127" s="12"/>
      <c r="B127" s="12"/>
      <c r="C127" s="12"/>
      <c r="D127" s="12"/>
      <c r="E127" s="12"/>
      <c r="F127" s="6">
        <f>Items!$A125</f>
        <v>0</v>
      </c>
      <c r="G127" s="15"/>
      <c r="H127" s="13">
        <f>Items!AE125</f>
        <v>0</v>
      </c>
      <c r="I127" s="13">
        <f>Items!AF125</f>
        <v>0</v>
      </c>
      <c r="J127" s="1"/>
      <c r="K127" s="6">
        <v>0</v>
      </c>
      <c r="L127" s="15"/>
      <c r="M127" s="13">
        <v>0</v>
      </c>
      <c r="N127" s="13">
        <v>0</v>
      </c>
      <c r="O127" s="1"/>
      <c r="P127" s="6">
        <v>0</v>
      </c>
      <c r="Q127" s="15"/>
      <c r="R127" s="13">
        <v>0</v>
      </c>
      <c r="S127" s="13">
        <v>0</v>
      </c>
      <c r="T127" s="1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</row>
    <row r="128" spans="1:38" x14ac:dyDescent="0.25">
      <c r="A128" s="12"/>
      <c r="B128" s="12"/>
      <c r="C128" s="12"/>
      <c r="D128" s="12"/>
      <c r="E128" s="12"/>
      <c r="F128" s="6">
        <f>Items!$A126</f>
        <v>0</v>
      </c>
      <c r="G128" s="15"/>
      <c r="H128" s="13">
        <f>Items!AE126</f>
        <v>0</v>
      </c>
      <c r="I128" s="13">
        <f>Items!AF126</f>
        <v>0</v>
      </c>
      <c r="J128" s="1"/>
      <c r="K128" s="6">
        <v>0</v>
      </c>
      <c r="L128" s="15"/>
      <c r="M128" s="13">
        <v>0</v>
      </c>
      <c r="N128" s="13">
        <v>0</v>
      </c>
      <c r="O128" s="1"/>
      <c r="P128" s="6">
        <v>0</v>
      </c>
      <c r="Q128" s="15"/>
      <c r="R128" s="13">
        <v>0</v>
      </c>
      <c r="S128" s="13">
        <v>0</v>
      </c>
      <c r="T128" s="1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</row>
    <row r="129" spans="1:38" x14ac:dyDescent="0.25">
      <c r="A129" s="12"/>
      <c r="B129" s="12"/>
      <c r="C129" s="12"/>
      <c r="D129" s="12"/>
      <c r="E129" s="12"/>
      <c r="F129" s="6">
        <f>Items!$A127</f>
        <v>0</v>
      </c>
      <c r="G129" s="15"/>
      <c r="H129" s="13">
        <f>Items!AE127</f>
        <v>0</v>
      </c>
      <c r="I129" s="13">
        <f>Items!AF127</f>
        <v>0</v>
      </c>
      <c r="J129" s="1"/>
      <c r="K129" s="6">
        <v>0</v>
      </c>
      <c r="L129" s="15"/>
      <c r="M129" s="13">
        <v>0</v>
      </c>
      <c r="N129" s="13">
        <v>0</v>
      </c>
      <c r="O129" s="1"/>
      <c r="P129" s="6">
        <v>0</v>
      </c>
      <c r="Q129" s="15"/>
      <c r="R129" s="13">
        <v>0</v>
      </c>
      <c r="S129" s="13">
        <v>0</v>
      </c>
      <c r="T129" s="1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</row>
    <row r="130" spans="1:38" x14ac:dyDescent="0.25">
      <c r="A130" s="12"/>
      <c r="B130" s="12"/>
      <c r="C130" s="12"/>
      <c r="D130" s="12"/>
      <c r="E130" s="12"/>
      <c r="F130" s="6">
        <f>Items!$A128</f>
        <v>0</v>
      </c>
      <c r="G130" s="15"/>
      <c r="H130" s="13">
        <f>Items!AE128</f>
        <v>0</v>
      </c>
      <c r="I130" s="13">
        <f>Items!AF128</f>
        <v>0</v>
      </c>
      <c r="J130" s="1"/>
      <c r="K130" s="6">
        <v>0</v>
      </c>
      <c r="L130" s="15"/>
      <c r="M130" s="13">
        <v>0</v>
      </c>
      <c r="N130" s="13">
        <v>0</v>
      </c>
      <c r="O130" s="1"/>
      <c r="P130" s="6">
        <v>0</v>
      </c>
      <c r="Q130" s="15"/>
      <c r="R130" s="13">
        <v>0</v>
      </c>
      <c r="S130" s="13">
        <v>0</v>
      </c>
      <c r="T130" s="1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</row>
    <row r="131" spans="1:38" x14ac:dyDescent="0.25">
      <c r="A131" s="12"/>
      <c r="B131" s="12"/>
      <c r="C131" s="12"/>
      <c r="D131" s="12"/>
      <c r="E131" s="12"/>
      <c r="F131" s="6">
        <f>Items!$A129</f>
        <v>0</v>
      </c>
      <c r="G131" s="15"/>
      <c r="H131" s="13">
        <f>Items!AE129</f>
        <v>0</v>
      </c>
      <c r="I131" s="13">
        <f>Items!AF129</f>
        <v>0</v>
      </c>
      <c r="J131" s="1"/>
      <c r="K131" s="6">
        <v>0</v>
      </c>
      <c r="L131" s="15"/>
      <c r="M131" s="13">
        <v>0</v>
      </c>
      <c r="N131" s="13">
        <v>0</v>
      </c>
      <c r="O131" s="1"/>
      <c r="P131" s="6">
        <v>0</v>
      </c>
      <c r="Q131" s="15"/>
      <c r="R131" s="13">
        <v>0</v>
      </c>
      <c r="S131" s="13">
        <v>0</v>
      </c>
      <c r="T131" s="1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</row>
    <row r="132" spans="1:38" x14ac:dyDescent="0.25">
      <c r="A132" s="12"/>
      <c r="B132" s="12"/>
      <c r="C132" s="12"/>
      <c r="D132" s="12"/>
      <c r="E132" s="12"/>
      <c r="F132" s="6">
        <f>Items!$A130</f>
        <v>0</v>
      </c>
      <c r="G132" s="15"/>
      <c r="H132" s="13">
        <f>Items!AE130</f>
        <v>0</v>
      </c>
      <c r="I132" s="13">
        <f>Items!AF130</f>
        <v>0</v>
      </c>
      <c r="J132" s="1"/>
      <c r="K132" s="6">
        <v>0</v>
      </c>
      <c r="L132" s="15"/>
      <c r="M132" s="13">
        <v>0</v>
      </c>
      <c r="N132" s="13">
        <v>0</v>
      </c>
      <c r="O132" s="1"/>
      <c r="P132" s="6">
        <v>0</v>
      </c>
      <c r="Q132" s="15"/>
      <c r="R132" s="13">
        <v>0</v>
      </c>
      <c r="S132" s="13">
        <v>0</v>
      </c>
      <c r="T132" s="1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</row>
    <row r="133" spans="1:38" x14ac:dyDescent="0.25">
      <c r="A133" s="12"/>
      <c r="B133" s="12"/>
      <c r="C133" s="12"/>
      <c r="D133" s="12"/>
      <c r="E133" s="12"/>
      <c r="F133" s="6">
        <f>Items!$A131</f>
        <v>0</v>
      </c>
      <c r="G133" s="15"/>
      <c r="H133" s="13">
        <f>Items!AE131</f>
        <v>0</v>
      </c>
      <c r="I133" s="13">
        <f>Items!AF131</f>
        <v>0</v>
      </c>
      <c r="J133" s="1"/>
      <c r="K133" s="6">
        <v>0</v>
      </c>
      <c r="L133" s="15"/>
      <c r="M133" s="13">
        <v>0</v>
      </c>
      <c r="N133" s="13">
        <v>0</v>
      </c>
      <c r="O133" s="1"/>
      <c r="P133" s="6">
        <v>0</v>
      </c>
      <c r="Q133" s="15"/>
      <c r="R133" s="13">
        <v>0</v>
      </c>
      <c r="S133" s="13">
        <v>0</v>
      </c>
      <c r="T133" s="1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</row>
    <row r="134" spans="1:38" x14ac:dyDescent="0.25">
      <c r="A134" s="12"/>
      <c r="B134" s="12"/>
      <c r="C134" s="12"/>
      <c r="D134" s="12"/>
      <c r="E134" s="12"/>
      <c r="F134" s="6">
        <f>Items!$A132</f>
        <v>0</v>
      </c>
      <c r="G134" s="15"/>
      <c r="H134" s="13">
        <f>Items!AE132</f>
        <v>0</v>
      </c>
      <c r="I134" s="13">
        <f>Items!AF132</f>
        <v>0</v>
      </c>
      <c r="J134" s="1"/>
      <c r="K134" s="6">
        <v>0</v>
      </c>
      <c r="L134" s="15"/>
      <c r="M134" s="13">
        <v>0</v>
      </c>
      <c r="N134" s="13">
        <v>0</v>
      </c>
      <c r="O134" s="1"/>
      <c r="P134" s="6">
        <v>0</v>
      </c>
      <c r="Q134" s="15"/>
      <c r="R134" s="13">
        <v>0</v>
      </c>
      <c r="S134" s="13">
        <v>0</v>
      </c>
      <c r="T134" s="1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</row>
    <row r="135" spans="1:38" x14ac:dyDescent="0.25">
      <c r="A135" s="12"/>
      <c r="B135" s="12"/>
      <c r="C135" s="12"/>
      <c r="D135" s="12"/>
      <c r="E135" s="12"/>
      <c r="F135" s="6">
        <f>Items!$A133</f>
        <v>0</v>
      </c>
      <c r="G135" s="15"/>
      <c r="H135" s="13">
        <f>Items!AE133</f>
        <v>0</v>
      </c>
      <c r="I135" s="13">
        <f>Items!AF133</f>
        <v>0</v>
      </c>
      <c r="J135" s="1"/>
      <c r="K135" s="6">
        <v>0</v>
      </c>
      <c r="L135" s="15"/>
      <c r="M135" s="13">
        <v>0</v>
      </c>
      <c r="N135" s="13">
        <v>0</v>
      </c>
      <c r="O135" s="1"/>
      <c r="P135" s="6">
        <v>0</v>
      </c>
      <c r="Q135" s="15"/>
      <c r="R135" s="13">
        <v>0</v>
      </c>
      <c r="S135" s="13">
        <v>0</v>
      </c>
      <c r="T135" s="1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</row>
    <row r="136" spans="1:38" x14ac:dyDescent="0.25">
      <c r="A136" s="12"/>
      <c r="B136" s="12"/>
      <c r="C136" s="12"/>
      <c r="D136" s="12"/>
      <c r="E136" s="12"/>
      <c r="F136" s="6">
        <f>Items!$A134</f>
        <v>0</v>
      </c>
      <c r="G136" s="15"/>
      <c r="H136" s="13">
        <f>Items!AE134</f>
        <v>0</v>
      </c>
      <c r="I136" s="13">
        <f>Items!AF134</f>
        <v>0</v>
      </c>
      <c r="J136" s="1"/>
      <c r="K136" s="6">
        <v>0</v>
      </c>
      <c r="L136" s="15"/>
      <c r="M136" s="13">
        <v>0</v>
      </c>
      <c r="N136" s="13">
        <v>0</v>
      </c>
      <c r="O136" s="1"/>
      <c r="P136" s="6">
        <v>0</v>
      </c>
      <c r="Q136" s="15"/>
      <c r="R136" s="13">
        <v>0</v>
      </c>
      <c r="S136" s="13">
        <v>0</v>
      </c>
      <c r="T136" s="1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</row>
    <row r="137" spans="1:38" x14ac:dyDescent="0.25">
      <c r="A137" s="12"/>
      <c r="B137" s="12"/>
      <c r="C137" s="12"/>
      <c r="D137" s="12"/>
      <c r="E137" s="12"/>
      <c r="F137" s="6">
        <f>Items!$A135</f>
        <v>0</v>
      </c>
      <c r="G137" s="15"/>
      <c r="H137" s="13">
        <f>Items!AE135</f>
        <v>0</v>
      </c>
      <c r="I137" s="13">
        <f>Items!AF135</f>
        <v>0</v>
      </c>
      <c r="J137" s="1"/>
      <c r="K137" s="6">
        <v>0</v>
      </c>
      <c r="L137" s="15"/>
      <c r="M137" s="13">
        <v>0</v>
      </c>
      <c r="N137" s="13">
        <v>0</v>
      </c>
      <c r="O137" s="1"/>
      <c r="P137" s="6">
        <v>0</v>
      </c>
      <c r="Q137" s="15"/>
      <c r="R137" s="13">
        <v>0</v>
      </c>
      <c r="S137" s="13">
        <v>0</v>
      </c>
      <c r="T137" s="1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</row>
    <row r="138" spans="1:38" x14ac:dyDescent="0.25">
      <c r="A138" s="12"/>
      <c r="B138" s="12"/>
      <c r="C138" s="12"/>
      <c r="D138" s="12"/>
      <c r="E138" s="12"/>
      <c r="F138" s="6">
        <f>Items!$A136</f>
        <v>0</v>
      </c>
      <c r="G138" s="15"/>
      <c r="H138" s="13">
        <f>Items!AE136</f>
        <v>0</v>
      </c>
      <c r="I138" s="13">
        <f>Items!AF136</f>
        <v>0</v>
      </c>
      <c r="J138" s="1"/>
      <c r="K138" s="6">
        <v>0</v>
      </c>
      <c r="L138" s="15"/>
      <c r="M138" s="13">
        <v>0</v>
      </c>
      <c r="N138" s="13">
        <v>0</v>
      </c>
      <c r="O138" s="1"/>
      <c r="P138" s="6">
        <v>0</v>
      </c>
      <c r="Q138" s="15"/>
      <c r="R138" s="13">
        <v>0</v>
      </c>
      <c r="S138" s="13">
        <v>0</v>
      </c>
      <c r="T138" s="1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</row>
    <row r="139" spans="1:38" x14ac:dyDescent="0.25">
      <c r="A139" s="12"/>
      <c r="B139" s="12"/>
      <c r="C139" s="12"/>
      <c r="D139" s="12"/>
      <c r="E139" s="12"/>
      <c r="F139" s="6">
        <f>Items!$A137</f>
        <v>0</v>
      </c>
      <c r="G139" s="15"/>
      <c r="H139" s="13">
        <f>Items!AE137</f>
        <v>0</v>
      </c>
      <c r="I139" s="13">
        <f>Items!AF137</f>
        <v>0</v>
      </c>
      <c r="J139" s="1"/>
      <c r="K139" s="6">
        <v>0</v>
      </c>
      <c r="L139" s="15"/>
      <c r="M139" s="13">
        <v>0</v>
      </c>
      <c r="N139" s="13">
        <v>0</v>
      </c>
      <c r="O139" s="1"/>
      <c r="P139" s="6">
        <v>0</v>
      </c>
      <c r="Q139" s="15"/>
      <c r="R139" s="13">
        <v>0</v>
      </c>
      <c r="S139" s="13">
        <v>0</v>
      </c>
      <c r="T139" s="1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</row>
    <row r="140" spans="1:38" x14ac:dyDescent="0.25">
      <c r="A140" s="12"/>
      <c r="B140" s="12"/>
      <c r="C140" s="12"/>
      <c r="D140" s="12"/>
      <c r="E140" s="12"/>
      <c r="F140" s="6">
        <f>Items!$A138</f>
        <v>0</v>
      </c>
      <c r="G140" s="15"/>
      <c r="H140" s="13">
        <f>Items!AE138</f>
        <v>0</v>
      </c>
      <c r="I140" s="13">
        <f>Items!AF138</f>
        <v>0</v>
      </c>
      <c r="J140" s="1"/>
      <c r="K140" s="6">
        <v>0</v>
      </c>
      <c r="L140" s="15"/>
      <c r="M140" s="13">
        <v>0</v>
      </c>
      <c r="N140" s="13">
        <v>0</v>
      </c>
      <c r="O140" s="1"/>
      <c r="P140" s="6">
        <v>0</v>
      </c>
      <c r="Q140" s="15"/>
      <c r="R140" s="13">
        <v>0</v>
      </c>
      <c r="S140" s="13">
        <v>0</v>
      </c>
      <c r="T140" s="1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</row>
    <row r="141" spans="1:38" x14ac:dyDescent="0.25">
      <c r="A141" s="12"/>
      <c r="B141" s="12"/>
      <c r="C141" s="12"/>
      <c r="D141" s="12"/>
      <c r="E141" s="12"/>
      <c r="F141" s="6">
        <f>Items!$A139</f>
        <v>0</v>
      </c>
      <c r="G141" s="15"/>
      <c r="H141" s="13">
        <f>Items!AE139</f>
        <v>0</v>
      </c>
      <c r="I141" s="13">
        <f>Items!AF139</f>
        <v>0</v>
      </c>
      <c r="J141" s="1"/>
      <c r="K141" s="6">
        <v>0</v>
      </c>
      <c r="L141" s="15"/>
      <c r="M141" s="13">
        <v>0</v>
      </c>
      <c r="N141" s="13">
        <v>0</v>
      </c>
      <c r="O141" s="1"/>
      <c r="P141" s="6">
        <v>0</v>
      </c>
      <c r="Q141" s="15"/>
      <c r="R141" s="13">
        <v>0</v>
      </c>
      <c r="S141" s="13">
        <v>0</v>
      </c>
      <c r="T141" s="1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</row>
    <row r="142" spans="1:38" x14ac:dyDescent="0.25">
      <c r="A142" s="12"/>
      <c r="B142" s="12"/>
      <c r="C142" s="12"/>
      <c r="D142" s="12"/>
      <c r="E142" s="12"/>
      <c r="F142" s="6">
        <f>Items!$A140</f>
        <v>0</v>
      </c>
      <c r="G142" s="15"/>
      <c r="H142" s="13">
        <f>Items!AE140</f>
        <v>0</v>
      </c>
      <c r="I142" s="13">
        <f>Items!AF140</f>
        <v>0</v>
      </c>
      <c r="J142" s="1"/>
      <c r="K142" s="6">
        <v>0</v>
      </c>
      <c r="L142" s="15"/>
      <c r="M142" s="13">
        <v>0</v>
      </c>
      <c r="N142" s="13">
        <v>0</v>
      </c>
      <c r="O142" s="1"/>
      <c r="P142" s="6">
        <v>0</v>
      </c>
      <c r="Q142" s="15"/>
      <c r="R142" s="13">
        <v>0</v>
      </c>
      <c r="S142" s="13">
        <v>0</v>
      </c>
      <c r="T142" s="1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</row>
    <row r="143" spans="1:38" x14ac:dyDescent="0.25">
      <c r="A143" s="12"/>
      <c r="B143" s="12"/>
      <c r="C143" s="12"/>
      <c r="D143" s="12"/>
      <c r="E143" s="12"/>
      <c r="F143" s="6">
        <f>Items!$A141</f>
        <v>0</v>
      </c>
      <c r="G143" s="15"/>
      <c r="H143" s="13">
        <f>Items!AE141</f>
        <v>0</v>
      </c>
      <c r="I143" s="13">
        <f>Items!AF141</f>
        <v>0</v>
      </c>
      <c r="J143" s="1"/>
      <c r="K143" s="6">
        <v>0</v>
      </c>
      <c r="L143" s="15"/>
      <c r="M143" s="13">
        <v>0</v>
      </c>
      <c r="N143" s="13">
        <v>0</v>
      </c>
      <c r="O143" s="1"/>
      <c r="P143" s="6">
        <v>0</v>
      </c>
      <c r="Q143" s="15"/>
      <c r="R143" s="13">
        <v>0</v>
      </c>
      <c r="S143" s="13">
        <v>0</v>
      </c>
      <c r="T143" s="1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</row>
    <row r="144" spans="1:38" x14ac:dyDescent="0.25">
      <c r="A144" s="12"/>
      <c r="B144" s="12"/>
      <c r="C144" s="12"/>
      <c r="D144" s="12"/>
      <c r="E144" s="12"/>
      <c r="F144" s="6">
        <f>Items!$A142</f>
        <v>0</v>
      </c>
      <c r="G144" s="15"/>
      <c r="H144" s="13">
        <f>Items!AE142</f>
        <v>0</v>
      </c>
      <c r="I144" s="13">
        <f>Items!AF142</f>
        <v>0</v>
      </c>
      <c r="J144" s="1"/>
      <c r="K144" s="6">
        <v>0</v>
      </c>
      <c r="L144" s="15"/>
      <c r="M144" s="13">
        <v>0</v>
      </c>
      <c r="N144" s="13">
        <v>0</v>
      </c>
      <c r="O144" s="1"/>
      <c r="P144" s="6">
        <v>0</v>
      </c>
      <c r="Q144" s="15"/>
      <c r="R144" s="13">
        <v>0</v>
      </c>
      <c r="S144" s="13">
        <v>0</v>
      </c>
      <c r="T144" s="1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</row>
    <row r="145" spans="1:38" x14ac:dyDescent="0.25">
      <c r="A145" s="12"/>
      <c r="B145" s="12"/>
      <c r="C145" s="12"/>
      <c r="D145" s="12"/>
      <c r="E145" s="12"/>
      <c r="F145" s="6">
        <f>Items!$A143</f>
        <v>0</v>
      </c>
      <c r="G145" s="15"/>
      <c r="H145" s="13">
        <f>Items!AE143</f>
        <v>0</v>
      </c>
      <c r="I145" s="13">
        <f>Items!AF143</f>
        <v>0</v>
      </c>
      <c r="J145" s="1"/>
      <c r="K145" s="6">
        <v>0</v>
      </c>
      <c r="L145" s="15"/>
      <c r="M145" s="13">
        <v>0</v>
      </c>
      <c r="N145" s="13">
        <v>0</v>
      </c>
      <c r="O145" s="1"/>
      <c r="P145" s="6">
        <v>0</v>
      </c>
      <c r="Q145" s="15"/>
      <c r="R145" s="13">
        <v>0</v>
      </c>
      <c r="S145" s="13">
        <v>0</v>
      </c>
      <c r="T145" s="1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</row>
    <row r="146" spans="1:38" x14ac:dyDescent="0.25">
      <c r="A146" s="12"/>
      <c r="B146" s="12"/>
      <c r="C146" s="12"/>
      <c r="D146" s="12"/>
      <c r="E146" s="12"/>
      <c r="F146" s="6">
        <f>Items!$A144</f>
        <v>0</v>
      </c>
      <c r="G146" s="15"/>
      <c r="H146" s="13">
        <f>Items!AE144</f>
        <v>0</v>
      </c>
      <c r="I146" s="13">
        <f>Items!AF144</f>
        <v>0</v>
      </c>
      <c r="J146" s="1"/>
      <c r="K146" s="6">
        <v>0</v>
      </c>
      <c r="L146" s="15"/>
      <c r="M146" s="13">
        <v>0</v>
      </c>
      <c r="N146" s="13">
        <v>0</v>
      </c>
      <c r="O146" s="1"/>
      <c r="P146" s="6">
        <v>0</v>
      </c>
      <c r="Q146" s="15"/>
      <c r="R146" s="13">
        <v>0</v>
      </c>
      <c r="S146" s="13">
        <v>0</v>
      </c>
      <c r="T146" s="1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</row>
    <row r="147" spans="1:38" x14ac:dyDescent="0.25">
      <c r="A147" s="12"/>
      <c r="B147" s="12"/>
      <c r="C147" s="12"/>
      <c r="D147" s="12"/>
      <c r="E147" s="12"/>
      <c r="F147" s="6">
        <f>Items!$A145</f>
        <v>0</v>
      </c>
      <c r="G147" s="15"/>
      <c r="H147" s="13">
        <f>Items!AE145</f>
        <v>0</v>
      </c>
      <c r="I147" s="13">
        <f>Items!AF145</f>
        <v>0</v>
      </c>
      <c r="J147" s="1"/>
      <c r="K147" s="6">
        <v>0</v>
      </c>
      <c r="L147" s="15"/>
      <c r="M147" s="13">
        <v>0</v>
      </c>
      <c r="N147" s="13">
        <v>0</v>
      </c>
      <c r="O147" s="1"/>
      <c r="P147" s="6">
        <v>0</v>
      </c>
      <c r="Q147" s="15"/>
      <c r="R147" s="13">
        <v>0</v>
      </c>
      <c r="S147" s="13">
        <v>0</v>
      </c>
      <c r="T147" s="1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</row>
    <row r="148" spans="1:38" x14ac:dyDescent="0.25">
      <c r="A148" s="12"/>
      <c r="B148" s="12"/>
      <c r="C148" s="12"/>
      <c r="D148" s="12"/>
      <c r="E148" s="12"/>
      <c r="F148" s="6">
        <f>Items!$A146</f>
        <v>0</v>
      </c>
      <c r="G148" s="15"/>
      <c r="H148" s="13">
        <f>Items!AE146</f>
        <v>0</v>
      </c>
      <c r="I148" s="13">
        <f>Items!AF146</f>
        <v>0</v>
      </c>
      <c r="J148" s="1"/>
      <c r="K148" s="6">
        <v>0</v>
      </c>
      <c r="L148" s="15"/>
      <c r="M148" s="13">
        <v>0</v>
      </c>
      <c r="N148" s="13">
        <v>0</v>
      </c>
      <c r="O148" s="1"/>
      <c r="P148" s="6">
        <v>0</v>
      </c>
      <c r="Q148" s="15"/>
      <c r="R148" s="13">
        <v>0</v>
      </c>
      <c r="S148" s="13">
        <v>0</v>
      </c>
      <c r="T148" s="1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</row>
    <row r="149" spans="1:38" x14ac:dyDescent="0.25">
      <c r="A149" s="12"/>
      <c r="B149" s="12"/>
      <c r="C149" s="12"/>
      <c r="D149" s="12"/>
      <c r="E149" s="12"/>
      <c r="F149" s="6">
        <f>Items!$A147</f>
        <v>0</v>
      </c>
      <c r="G149" s="15"/>
      <c r="H149" s="13">
        <f>Items!AE147</f>
        <v>0</v>
      </c>
      <c r="I149" s="13">
        <f>Items!AF147</f>
        <v>0</v>
      </c>
      <c r="J149" s="1"/>
      <c r="K149" s="6">
        <v>0</v>
      </c>
      <c r="L149" s="15"/>
      <c r="M149" s="13">
        <v>0</v>
      </c>
      <c r="N149" s="13">
        <v>0</v>
      </c>
      <c r="O149" s="1"/>
      <c r="P149" s="6">
        <v>0</v>
      </c>
      <c r="Q149" s="15"/>
      <c r="R149" s="13">
        <v>0</v>
      </c>
      <c r="S149" s="13">
        <v>0</v>
      </c>
      <c r="T149" s="1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</row>
    <row r="150" spans="1:38" x14ac:dyDescent="0.25">
      <c r="A150" s="12"/>
      <c r="B150" s="12"/>
      <c r="C150" s="12"/>
      <c r="D150" s="12"/>
      <c r="E150" s="12"/>
      <c r="F150" s="6">
        <f>Items!$A148</f>
        <v>0</v>
      </c>
      <c r="G150" s="15"/>
      <c r="H150" s="13">
        <f>Items!AE148</f>
        <v>0</v>
      </c>
      <c r="I150" s="13">
        <f>Items!AF148</f>
        <v>0</v>
      </c>
      <c r="J150" s="1"/>
      <c r="K150" s="6">
        <v>0</v>
      </c>
      <c r="L150" s="15"/>
      <c r="M150" s="13">
        <v>0</v>
      </c>
      <c r="N150" s="13">
        <v>0</v>
      </c>
      <c r="O150" s="1"/>
      <c r="P150" s="6">
        <v>0</v>
      </c>
      <c r="Q150" s="15"/>
      <c r="R150" s="13">
        <v>0</v>
      </c>
      <c r="S150" s="13">
        <v>0</v>
      </c>
      <c r="T150" s="1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</row>
    <row r="151" spans="1:38" x14ac:dyDescent="0.25">
      <c r="A151" s="12"/>
      <c r="B151" s="12"/>
      <c r="C151" s="12"/>
      <c r="D151" s="12"/>
      <c r="E151" s="12"/>
      <c r="F151" s="6">
        <f>Items!$A149</f>
        <v>0</v>
      </c>
      <c r="G151" s="15"/>
      <c r="H151" s="13">
        <f>Items!AE149</f>
        <v>0</v>
      </c>
      <c r="I151" s="13">
        <f>Items!AF149</f>
        <v>0</v>
      </c>
      <c r="J151" s="1"/>
      <c r="K151" s="6">
        <v>0</v>
      </c>
      <c r="L151" s="15"/>
      <c r="M151" s="13">
        <v>0</v>
      </c>
      <c r="N151" s="13">
        <v>0</v>
      </c>
      <c r="O151" s="1"/>
      <c r="P151" s="6">
        <v>0</v>
      </c>
      <c r="Q151" s="15"/>
      <c r="R151" s="13">
        <v>0</v>
      </c>
      <c r="S151" s="13">
        <v>0</v>
      </c>
      <c r="T151" s="1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</row>
    <row r="152" spans="1:38" x14ac:dyDescent="0.25">
      <c r="A152" s="12"/>
      <c r="B152" s="12"/>
      <c r="C152" s="12"/>
      <c r="D152" s="12"/>
      <c r="E152" s="12"/>
      <c r="F152" s="6">
        <f>Items!$A150</f>
        <v>0</v>
      </c>
      <c r="G152" s="15"/>
      <c r="H152" s="13">
        <f>Items!AE150</f>
        <v>0</v>
      </c>
      <c r="I152" s="13">
        <f>Items!AF150</f>
        <v>0</v>
      </c>
      <c r="J152" s="1"/>
      <c r="K152" s="6">
        <v>0</v>
      </c>
      <c r="L152" s="15"/>
      <c r="M152" s="13">
        <v>0</v>
      </c>
      <c r="N152" s="13">
        <v>0</v>
      </c>
      <c r="O152" s="1"/>
      <c r="P152" s="6">
        <v>0</v>
      </c>
      <c r="Q152" s="15"/>
      <c r="R152" s="13">
        <v>0</v>
      </c>
      <c r="S152" s="13">
        <v>0</v>
      </c>
      <c r="T152" s="1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</row>
    <row r="153" spans="1:38" x14ac:dyDescent="0.25">
      <c r="A153" s="12"/>
      <c r="B153" s="12"/>
      <c r="C153" s="12"/>
      <c r="D153" s="12"/>
      <c r="E153" s="12"/>
      <c r="F153" s="6">
        <f>Items!$A151</f>
        <v>0</v>
      </c>
      <c r="G153" s="15"/>
      <c r="H153" s="13">
        <f>Items!AE151</f>
        <v>0</v>
      </c>
      <c r="I153" s="13">
        <f>Items!AF151</f>
        <v>0</v>
      </c>
      <c r="J153" s="1"/>
      <c r="K153" s="6">
        <v>0</v>
      </c>
      <c r="L153" s="15"/>
      <c r="M153" s="13">
        <v>0</v>
      </c>
      <c r="N153" s="13">
        <v>0</v>
      </c>
      <c r="O153" s="1"/>
      <c r="P153" s="6">
        <v>0</v>
      </c>
      <c r="Q153" s="15"/>
      <c r="R153" s="13">
        <v>0</v>
      </c>
      <c r="S153" s="13">
        <v>0</v>
      </c>
      <c r="T153" s="1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</row>
    <row r="154" spans="1:38" x14ac:dyDescent="0.25">
      <c r="A154" s="12"/>
      <c r="B154" s="12"/>
      <c r="C154" s="12"/>
      <c r="D154" s="12"/>
      <c r="E154" s="12"/>
      <c r="F154" s="6">
        <f>Items!$A152</f>
        <v>0</v>
      </c>
      <c r="G154" s="15"/>
      <c r="H154" s="13">
        <f>Items!AE152</f>
        <v>0</v>
      </c>
      <c r="I154" s="13">
        <f>Items!AF152</f>
        <v>0</v>
      </c>
      <c r="J154" s="1"/>
      <c r="K154" s="6">
        <v>0</v>
      </c>
      <c r="L154" s="15"/>
      <c r="M154" s="13">
        <v>0</v>
      </c>
      <c r="N154" s="13">
        <v>0</v>
      </c>
      <c r="O154" s="1"/>
      <c r="P154" s="6">
        <v>0</v>
      </c>
      <c r="Q154" s="15"/>
      <c r="R154" s="13">
        <v>0</v>
      </c>
      <c r="S154" s="13">
        <v>0</v>
      </c>
      <c r="T154" s="1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</row>
    <row r="155" spans="1:38" x14ac:dyDescent="0.25">
      <c r="A155" s="12"/>
      <c r="B155" s="12"/>
      <c r="C155" s="12"/>
      <c r="D155" s="12"/>
      <c r="E155" s="12"/>
      <c r="F155" s="6">
        <f>Items!$A153</f>
        <v>0</v>
      </c>
      <c r="G155" s="15"/>
      <c r="H155" s="13">
        <f>Items!AE153</f>
        <v>0</v>
      </c>
      <c r="I155" s="13">
        <f>Items!AF153</f>
        <v>0</v>
      </c>
      <c r="J155" s="1"/>
      <c r="K155" s="6">
        <v>0</v>
      </c>
      <c r="L155" s="15"/>
      <c r="M155" s="13">
        <v>0</v>
      </c>
      <c r="N155" s="13">
        <v>0</v>
      </c>
      <c r="O155" s="1"/>
      <c r="P155" s="6">
        <v>0</v>
      </c>
      <c r="Q155" s="15"/>
      <c r="R155" s="13">
        <v>0</v>
      </c>
      <c r="S155" s="13">
        <v>0</v>
      </c>
      <c r="T155" s="1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</row>
    <row r="156" spans="1:38" x14ac:dyDescent="0.25">
      <c r="A156" s="12"/>
      <c r="B156" s="12"/>
      <c r="C156" s="12"/>
      <c r="D156" s="12"/>
      <c r="E156" s="12"/>
      <c r="F156" s="6">
        <f>Items!$A154</f>
        <v>0</v>
      </c>
      <c r="G156" s="15"/>
      <c r="H156" s="13">
        <f>Items!AE154</f>
        <v>0</v>
      </c>
      <c r="I156" s="13">
        <f>Items!AF154</f>
        <v>0</v>
      </c>
      <c r="J156" s="1"/>
      <c r="K156" s="6">
        <v>0</v>
      </c>
      <c r="L156" s="15"/>
      <c r="M156" s="13">
        <v>0</v>
      </c>
      <c r="N156" s="13">
        <v>0</v>
      </c>
      <c r="O156" s="1"/>
      <c r="P156" s="6">
        <v>0</v>
      </c>
      <c r="Q156" s="15"/>
      <c r="R156" s="13">
        <v>0</v>
      </c>
      <c r="S156" s="13">
        <v>0</v>
      </c>
      <c r="T156" s="1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</row>
    <row r="157" spans="1:38" x14ac:dyDescent="0.25">
      <c r="A157" s="12"/>
      <c r="B157" s="12"/>
      <c r="C157" s="12"/>
      <c r="D157" s="12"/>
      <c r="E157" s="12"/>
      <c r="F157" s="6">
        <f>Items!$A155</f>
        <v>0</v>
      </c>
      <c r="G157" s="15"/>
      <c r="H157" s="13">
        <f>Items!AE155</f>
        <v>0</v>
      </c>
      <c r="I157" s="13">
        <f>Items!AF155</f>
        <v>0</v>
      </c>
      <c r="J157" s="1"/>
      <c r="K157" s="6">
        <v>0</v>
      </c>
      <c r="L157" s="15"/>
      <c r="M157" s="13">
        <v>0</v>
      </c>
      <c r="N157" s="13">
        <v>0</v>
      </c>
      <c r="O157" s="1"/>
      <c r="P157" s="6">
        <v>0</v>
      </c>
      <c r="Q157" s="15"/>
      <c r="R157" s="13">
        <v>0</v>
      </c>
      <c r="S157" s="13">
        <v>0</v>
      </c>
      <c r="T157" s="1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</row>
    <row r="158" spans="1:38" x14ac:dyDescent="0.25">
      <c r="A158" s="12"/>
      <c r="B158" s="12"/>
      <c r="C158" s="12"/>
      <c r="D158" s="12"/>
      <c r="E158" s="12"/>
      <c r="F158" s="6">
        <f>Items!$A156</f>
        <v>0</v>
      </c>
      <c r="G158" s="15"/>
      <c r="H158" s="13">
        <f>Items!AE156</f>
        <v>0</v>
      </c>
      <c r="I158" s="13">
        <f>Items!AF156</f>
        <v>0</v>
      </c>
      <c r="J158" s="1"/>
      <c r="K158" s="6">
        <v>0</v>
      </c>
      <c r="L158" s="15"/>
      <c r="M158" s="13">
        <v>0</v>
      </c>
      <c r="N158" s="13">
        <v>0</v>
      </c>
      <c r="O158" s="1"/>
      <c r="P158" s="6">
        <v>0</v>
      </c>
      <c r="Q158" s="15"/>
      <c r="R158" s="13">
        <v>0</v>
      </c>
      <c r="S158" s="13">
        <v>0</v>
      </c>
      <c r="T158" s="1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</row>
    <row r="159" spans="1:38" x14ac:dyDescent="0.25">
      <c r="A159" s="12"/>
      <c r="B159" s="12"/>
      <c r="C159" s="12"/>
      <c r="D159" s="12"/>
      <c r="E159" s="12"/>
      <c r="F159" s="6">
        <f>Items!$A157</f>
        <v>0</v>
      </c>
      <c r="G159" s="15"/>
      <c r="H159" s="13">
        <f>Items!AE157</f>
        <v>0</v>
      </c>
      <c r="I159" s="13">
        <f>Items!AF157</f>
        <v>0</v>
      </c>
      <c r="J159" s="1"/>
      <c r="K159" s="6">
        <v>0</v>
      </c>
      <c r="L159" s="15"/>
      <c r="M159" s="13">
        <v>0</v>
      </c>
      <c r="N159" s="13">
        <v>0</v>
      </c>
      <c r="O159" s="1"/>
      <c r="P159" s="6">
        <v>0</v>
      </c>
      <c r="Q159" s="15"/>
      <c r="R159" s="13">
        <v>0</v>
      </c>
      <c r="S159" s="13">
        <v>0</v>
      </c>
      <c r="T159" s="1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</row>
    <row r="160" spans="1:38" x14ac:dyDescent="0.25">
      <c r="A160" s="12"/>
      <c r="B160" s="12"/>
      <c r="C160" s="12"/>
      <c r="D160" s="12"/>
      <c r="E160" s="12"/>
      <c r="F160" s="6">
        <f>Items!$A158</f>
        <v>0</v>
      </c>
      <c r="G160" s="15"/>
      <c r="H160" s="13">
        <f>Items!AE158</f>
        <v>0</v>
      </c>
      <c r="I160" s="13">
        <f>Items!AF158</f>
        <v>0</v>
      </c>
      <c r="J160" s="1"/>
      <c r="K160" s="6">
        <v>0</v>
      </c>
      <c r="L160" s="15"/>
      <c r="M160" s="13">
        <v>0</v>
      </c>
      <c r="N160" s="13">
        <v>0</v>
      </c>
      <c r="O160" s="1"/>
      <c r="P160" s="6">
        <v>0</v>
      </c>
      <c r="Q160" s="15"/>
      <c r="R160" s="13">
        <v>0</v>
      </c>
      <c r="S160" s="13">
        <v>0</v>
      </c>
      <c r="T160" s="1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</row>
    <row r="161" spans="1:38" x14ac:dyDescent="0.25">
      <c r="A161" s="12"/>
      <c r="B161" s="12"/>
      <c r="C161" s="12"/>
      <c r="D161" s="12"/>
      <c r="E161" s="12"/>
      <c r="F161" s="6">
        <f>Items!$A159</f>
        <v>0</v>
      </c>
      <c r="G161" s="15"/>
      <c r="H161" s="13">
        <f>Items!AE159</f>
        <v>0</v>
      </c>
      <c r="I161" s="13">
        <f>Items!AF159</f>
        <v>0</v>
      </c>
      <c r="J161" s="1"/>
      <c r="K161" s="6">
        <v>0</v>
      </c>
      <c r="L161" s="15"/>
      <c r="M161" s="13">
        <v>0</v>
      </c>
      <c r="N161" s="13">
        <v>0</v>
      </c>
      <c r="O161" s="1"/>
      <c r="P161" s="6">
        <v>0</v>
      </c>
      <c r="Q161" s="15"/>
      <c r="R161" s="13">
        <v>0</v>
      </c>
      <c r="S161" s="13">
        <v>0</v>
      </c>
      <c r="T161" s="1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</row>
    <row r="162" spans="1:38" x14ac:dyDescent="0.25">
      <c r="A162" s="12"/>
      <c r="B162" s="12"/>
      <c r="C162" s="12"/>
      <c r="D162" s="12"/>
      <c r="E162" s="12"/>
      <c r="F162" s="6">
        <f>Items!$A160</f>
        <v>0</v>
      </c>
      <c r="G162" s="15"/>
      <c r="H162" s="13">
        <f>Items!AE160</f>
        <v>0</v>
      </c>
      <c r="I162" s="13">
        <f>Items!AF160</f>
        <v>0</v>
      </c>
      <c r="J162" s="1"/>
      <c r="K162" s="6">
        <v>0</v>
      </c>
      <c r="L162" s="15"/>
      <c r="M162" s="13">
        <v>0</v>
      </c>
      <c r="N162" s="13">
        <v>0</v>
      </c>
      <c r="O162" s="1"/>
      <c r="P162" s="6">
        <v>0</v>
      </c>
      <c r="Q162" s="15"/>
      <c r="R162" s="13">
        <v>0</v>
      </c>
      <c r="S162" s="13">
        <v>0</v>
      </c>
      <c r="T162" s="1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</row>
    <row r="163" spans="1:38" x14ac:dyDescent="0.25">
      <c r="A163" s="12"/>
      <c r="B163" s="12"/>
      <c r="C163" s="12"/>
      <c r="D163" s="12"/>
      <c r="E163" s="12"/>
      <c r="F163" s="6">
        <f>Items!$A161</f>
        <v>0</v>
      </c>
      <c r="G163" s="15"/>
      <c r="H163" s="13">
        <f>Items!AE161</f>
        <v>0</v>
      </c>
      <c r="I163" s="13">
        <f>Items!AF161</f>
        <v>0</v>
      </c>
      <c r="J163" s="1"/>
      <c r="K163" s="6">
        <v>0</v>
      </c>
      <c r="L163" s="15"/>
      <c r="M163" s="13">
        <v>0</v>
      </c>
      <c r="N163" s="13">
        <v>0</v>
      </c>
      <c r="O163" s="1"/>
      <c r="P163" s="6">
        <v>0</v>
      </c>
      <c r="Q163" s="15"/>
      <c r="R163" s="13">
        <v>0</v>
      </c>
      <c r="S163" s="13">
        <v>0</v>
      </c>
      <c r="T163" s="1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</row>
    <row r="164" spans="1:38" x14ac:dyDescent="0.25">
      <c r="A164" s="12"/>
      <c r="B164" s="12"/>
      <c r="C164" s="12"/>
      <c r="D164" s="12"/>
      <c r="E164" s="12"/>
      <c r="F164" s="6">
        <f>Items!$A162</f>
        <v>0</v>
      </c>
      <c r="G164" s="15"/>
      <c r="H164" s="13">
        <f>Items!AE162</f>
        <v>0</v>
      </c>
      <c r="I164" s="13">
        <f>Items!AF162</f>
        <v>0</v>
      </c>
      <c r="J164" s="1"/>
      <c r="K164" s="6">
        <v>0</v>
      </c>
      <c r="L164" s="15"/>
      <c r="M164" s="13">
        <v>0</v>
      </c>
      <c r="N164" s="13">
        <v>0</v>
      </c>
      <c r="O164" s="1"/>
      <c r="P164" s="6">
        <v>0</v>
      </c>
      <c r="Q164" s="15"/>
      <c r="R164" s="13">
        <v>0</v>
      </c>
      <c r="S164" s="13">
        <v>0</v>
      </c>
      <c r="T164" s="1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</row>
    <row r="165" spans="1:38" x14ac:dyDescent="0.25">
      <c r="A165" s="12"/>
      <c r="B165" s="12"/>
      <c r="C165" s="12"/>
      <c r="D165" s="12"/>
      <c r="E165" s="12"/>
      <c r="F165" s="6">
        <f>Items!$A163</f>
        <v>0</v>
      </c>
      <c r="G165" s="15"/>
      <c r="H165" s="13">
        <f>Items!AE163</f>
        <v>0</v>
      </c>
      <c r="I165" s="13">
        <f>Items!AF163</f>
        <v>0</v>
      </c>
      <c r="J165" s="1"/>
      <c r="K165" s="6">
        <v>0</v>
      </c>
      <c r="L165" s="15"/>
      <c r="M165" s="13">
        <v>0</v>
      </c>
      <c r="N165" s="13">
        <v>0</v>
      </c>
      <c r="O165" s="1"/>
      <c r="P165" s="6">
        <v>0</v>
      </c>
      <c r="Q165" s="15"/>
      <c r="R165" s="13">
        <v>0</v>
      </c>
      <c r="S165" s="13">
        <v>0</v>
      </c>
      <c r="T165" s="1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</row>
    <row r="166" spans="1:38" x14ac:dyDescent="0.25">
      <c r="A166" s="12"/>
      <c r="B166" s="12"/>
      <c r="C166" s="12"/>
      <c r="D166" s="12"/>
      <c r="E166" s="12"/>
      <c r="F166" s="6">
        <f>Items!$A164</f>
        <v>0</v>
      </c>
      <c r="G166" s="15"/>
      <c r="H166" s="13">
        <f>Items!AE164</f>
        <v>0</v>
      </c>
      <c r="I166" s="13">
        <f>Items!AF164</f>
        <v>0</v>
      </c>
      <c r="J166" s="1"/>
      <c r="K166" s="6">
        <v>0</v>
      </c>
      <c r="L166" s="15"/>
      <c r="M166" s="13">
        <v>0</v>
      </c>
      <c r="N166" s="13">
        <v>0</v>
      </c>
      <c r="O166" s="1"/>
      <c r="P166" s="6">
        <v>0</v>
      </c>
      <c r="Q166" s="15"/>
      <c r="R166" s="13">
        <v>0</v>
      </c>
      <c r="S166" s="13">
        <v>0</v>
      </c>
      <c r="T166" s="1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</row>
    <row r="167" spans="1:38" x14ac:dyDescent="0.25">
      <c r="A167" s="12"/>
      <c r="B167" s="12"/>
      <c r="C167" s="12"/>
      <c r="D167" s="12"/>
      <c r="E167" s="12"/>
      <c r="F167" s="6">
        <f>Items!$A165</f>
        <v>0</v>
      </c>
      <c r="G167" s="15"/>
      <c r="H167" s="13">
        <f>Items!AE165</f>
        <v>0</v>
      </c>
      <c r="I167" s="13">
        <f>Items!AF165</f>
        <v>0</v>
      </c>
      <c r="J167" s="1"/>
      <c r="K167" s="20" t="s">
        <v>95</v>
      </c>
      <c r="L167" s="21"/>
      <c r="M167" s="13">
        <v>-23.847376788554016</v>
      </c>
      <c r="N167" s="13">
        <v>0</v>
      </c>
      <c r="O167" s="1"/>
      <c r="P167" s="6">
        <v>0</v>
      </c>
      <c r="Q167" s="15"/>
      <c r="R167" s="13">
        <v>0</v>
      </c>
      <c r="S167" s="13">
        <v>0</v>
      </c>
      <c r="T167" s="1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</row>
  </sheetData>
  <sortState xmlns:xlrd2="http://schemas.microsoft.com/office/spreadsheetml/2017/richdata2" ref="K17:N167">
    <sortCondition descending="1" ref="M17:M167"/>
  </sortState>
  <conditionalFormatting sqref="I17:I167">
    <cfRule type="colorScale" priority="324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H17:H167">
    <cfRule type="colorScale" priority="323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N17:N167">
    <cfRule type="colorScale" priority="6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M17:M167">
    <cfRule type="colorScale" priority="5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S17:S167">
    <cfRule type="colorScale" priority="3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R17:R167">
    <cfRule type="colorScale" priority="2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_and_paste_values">
                <anchor moveWithCells="1">
                  <from>
                    <xdr:col>10</xdr:col>
                    <xdr:colOff>419100</xdr:colOff>
                    <xdr:row>10</xdr:row>
                    <xdr:rowOff>57150</xdr:rowOff>
                  </from>
                  <to>
                    <xdr:col>13</xdr:col>
                    <xdr:colOff>361950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8" id="{1E147265-766C-4FD1-9EED-328EC8E3DCEB}">
            <xm:f>IF(Items!$P15 = "true", TRUE(), FALSE())</xm:f>
            <x14:dxf>
              <fill>
                <patternFill>
                  <bgColor theme="9" tint="-0.24994659260841701"/>
                </patternFill>
              </fill>
            </x14:dxf>
          </x14:cfRule>
          <xm:sqref>F17:G167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F1033-EBA3-4DDB-9D6B-B0722F6D888A}">
  <sheetPr codeName="Sheet2"/>
  <dimension ref="A1:AF333"/>
  <sheetViews>
    <sheetView workbookViewId="0">
      <selection activeCell="D6" sqref="D6"/>
    </sheetView>
  </sheetViews>
  <sheetFormatPr defaultRowHeight="15" x14ac:dyDescent="0.25"/>
  <cols>
    <col min="1" max="1" width="22.140625" bestFit="1" customWidth="1"/>
    <col min="2" max="2" width="5" bestFit="1" customWidth="1"/>
    <col min="3" max="3" width="8.140625" style="16" bestFit="1" customWidth="1"/>
    <col min="4" max="4" width="14.42578125" bestFit="1" customWidth="1"/>
    <col min="5" max="5" width="15.28515625" bestFit="1" customWidth="1"/>
    <col min="6" max="6" width="12.5703125" bestFit="1" customWidth="1"/>
    <col min="7" max="7" width="3.42578125" bestFit="1" customWidth="1"/>
    <col min="8" max="8" width="3.85546875" bestFit="1" customWidth="1"/>
    <col min="9" max="9" width="3.42578125" bestFit="1" customWidth="1"/>
    <col min="10" max="10" width="16.7109375" bestFit="1" customWidth="1"/>
    <col min="11" max="11" width="13.85546875" bestFit="1" customWidth="1"/>
    <col min="12" max="12" width="14.42578125" bestFit="1" customWidth="1"/>
    <col min="13" max="13" width="15.28515625" bestFit="1" customWidth="1"/>
    <col min="14" max="14" width="13.5703125" bestFit="1" customWidth="1"/>
    <col min="15" max="15" width="11" bestFit="1" customWidth="1"/>
    <col min="16" max="16" width="9.5703125" bestFit="1" customWidth="1"/>
    <col min="17" max="19" width="2" bestFit="1" customWidth="1"/>
    <col min="23" max="23" width="13.42578125" customWidth="1"/>
    <col min="24" max="24" width="12" bestFit="1" customWidth="1"/>
    <col min="25" max="25" width="11.7109375" customWidth="1"/>
    <col min="26" max="26" width="12" bestFit="1" customWidth="1"/>
    <col min="27" max="27" width="12.5703125" customWidth="1"/>
    <col min="28" max="28" width="9.42578125" bestFit="1" customWidth="1"/>
    <col min="29" max="29" width="6.140625" bestFit="1" customWidth="1"/>
    <col min="30" max="30" width="12" customWidth="1"/>
    <col min="31" max="31" width="12.7109375" style="2" bestFit="1" customWidth="1"/>
    <col min="32" max="32" width="12" style="17" bestFit="1" customWidth="1"/>
  </cols>
  <sheetData>
    <row r="1" spans="1:32" x14ac:dyDescent="0.25">
      <c r="W1" s="18" t="str">
        <f>'Dota 2'!N1</f>
        <v>Stat Values (Dmg/s)</v>
      </c>
      <c r="X1" s="18"/>
      <c r="Y1" s="3" t="str">
        <f>'Dota 2'!A9</f>
        <v>Armor Corr.</v>
      </c>
      <c r="Z1" s="3">
        <f>'Dota 2'!B9</f>
        <v>0</v>
      </c>
      <c r="AA1" s="3"/>
    </row>
    <row r="2" spans="1:32" x14ac:dyDescent="0.25">
      <c r="W2" s="18" t="str">
        <f>'Dota 2'!N2</f>
        <v>Damage</v>
      </c>
      <c r="X2" s="19">
        <f>'Dota 2'!O2</f>
        <v>0.79491255961846718</v>
      </c>
      <c r="Y2" s="3" t="str">
        <f>'Dota 2'!A10</f>
        <v>Enemy Armor</v>
      </c>
      <c r="Z2" s="3">
        <f>'Dota 2'!B10</f>
        <v>8</v>
      </c>
      <c r="AA2" s="3">
        <f>'Dota 2'!C10</f>
        <v>8</v>
      </c>
    </row>
    <row r="3" spans="1:32" x14ac:dyDescent="0.25">
      <c r="W3" s="18" t="str">
        <f>'Dota 2'!N3</f>
        <v>Atk Spd</v>
      </c>
      <c r="X3" s="19">
        <f>'Dota 2'!O3</f>
        <v>0.79491255961849561</v>
      </c>
      <c r="Y3" s="3" t="str">
        <f>'Dota 2'!A11</f>
        <v>Enemy M. Armor</v>
      </c>
      <c r="Z3" s="3">
        <f>'Dota 2'!B11</f>
        <v>0.25</v>
      </c>
      <c r="AA3" s="3"/>
    </row>
    <row r="4" spans="1:32" x14ac:dyDescent="0.25">
      <c r="W4" s="18" t="str">
        <f>'Dota 2'!N4</f>
        <v>STR</v>
      </c>
      <c r="X4" s="19">
        <f>'Dota 2'!O4</f>
        <v>0</v>
      </c>
      <c r="Y4" s="3" t="str">
        <f>'Dota 2'!A12</f>
        <v>Enemy D Mult</v>
      </c>
      <c r="Z4" s="3">
        <f>'Dota 2'!B12</f>
        <v>0.67567567567567566</v>
      </c>
      <c r="AA4" s="3"/>
    </row>
    <row r="5" spans="1:32" x14ac:dyDescent="0.25">
      <c r="W5" s="18" t="str">
        <f>'Dota 2'!N5</f>
        <v>AGI</v>
      </c>
      <c r="X5" s="19">
        <f>'Dota 2'!O5</f>
        <v>1.5898251192369628</v>
      </c>
    </row>
    <row r="6" spans="1:32" x14ac:dyDescent="0.25">
      <c r="W6" s="18" t="str">
        <f>'Dota 2'!N6</f>
        <v>INT</v>
      </c>
      <c r="X6" s="19">
        <f>'Dota 2'!O6</f>
        <v>0</v>
      </c>
      <c r="Y6" s="3" t="str">
        <f>'Dota 2'!E1</f>
        <v>Armor Formula Base b</v>
      </c>
      <c r="Z6" s="3"/>
    </row>
    <row r="7" spans="1:32" x14ac:dyDescent="0.25">
      <c r="Y7" s="3">
        <f>'Dota 2'!E2</f>
        <v>1</v>
      </c>
      <c r="Z7" s="3"/>
    </row>
    <row r="8" spans="1:32" x14ac:dyDescent="0.25">
      <c r="Y8" s="3" t="str">
        <f>'Dota 2'!E3</f>
        <v>Armor Formula Factor f</v>
      </c>
      <c r="Z8" s="3"/>
    </row>
    <row r="9" spans="1:32" x14ac:dyDescent="0.25">
      <c r="Y9" s="3">
        <f>'Dota 2'!E4</f>
        <v>0.06</v>
      </c>
      <c r="Z9" s="3"/>
    </row>
    <row r="13" spans="1:32" x14ac:dyDescent="0.25">
      <c r="A13" t="s">
        <v>56</v>
      </c>
      <c r="W13" t="s">
        <v>54</v>
      </c>
    </row>
    <row r="14" spans="1:32" x14ac:dyDescent="0.25">
      <c r="A14" t="s">
        <v>45</v>
      </c>
      <c r="B14" t="s">
        <v>52</v>
      </c>
      <c r="C14" t="s">
        <v>0</v>
      </c>
      <c r="D14" s="16" t="s">
        <v>46</v>
      </c>
      <c r="E14" t="s">
        <v>47</v>
      </c>
      <c r="F14" t="s">
        <v>48</v>
      </c>
      <c r="G14" t="s">
        <v>49</v>
      </c>
      <c r="H14" t="s">
        <v>50</v>
      </c>
      <c r="I14" t="s">
        <v>51</v>
      </c>
      <c r="J14" t="s">
        <v>113</v>
      </c>
      <c r="K14" t="s">
        <v>119</v>
      </c>
      <c r="L14" t="s">
        <v>120</v>
      </c>
      <c r="M14" t="s">
        <v>121</v>
      </c>
      <c r="N14" t="s">
        <v>114</v>
      </c>
      <c r="O14" t="s">
        <v>115</v>
      </c>
      <c r="P14" t="s">
        <v>53</v>
      </c>
      <c r="Q14" t="s">
        <v>125</v>
      </c>
      <c r="R14" t="s">
        <v>125</v>
      </c>
      <c r="S14" t="s">
        <v>125</v>
      </c>
      <c r="W14" t="s">
        <v>0</v>
      </c>
      <c r="X14" t="s">
        <v>6</v>
      </c>
      <c r="Y14" t="s">
        <v>49</v>
      </c>
      <c r="Z14" t="s">
        <v>50</v>
      </c>
      <c r="AA14" t="s">
        <v>51</v>
      </c>
      <c r="AB14" t="s">
        <v>55</v>
      </c>
      <c r="AC14" t="s">
        <v>118</v>
      </c>
      <c r="AD14" t="s">
        <v>116</v>
      </c>
      <c r="AE14" s="2" t="s">
        <v>40</v>
      </c>
      <c r="AF14" s="17" t="s">
        <v>41</v>
      </c>
    </row>
    <row r="15" spans="1:32" x14ac:dyDescent="0.25">
      <c r="A15" s="6" t="str">
        <f>[1]Items!$A1</f>
        <v>Abyssal Blade</v>
      </c>
      <c r="B15" s="16" t="str">
        <f>[1]Items!B1</f>
        <v>6250</v>
      </c>
      <c r="C15" s="16" t="str">
        <f>[1]Items!C1</f>
        <v>25</v>
      </c>
      <c r="D15" s="16" t="str">
        <f>[1]Items!D1</f>
        <v>0</v>
      </c>
      <c r="E15" s="16" t="str">
        <f>[1]Items!E1</f>
        <v>0</v>
      </c>
      <c r="F15" s="16" t="str">
        <f>[1]Items!F1</f>
        <v>0</v>
      </c>
      <c r="G15" s="16" t="str">
        <f>[1]Items!G1</f>
        <v>10</v>
      </c>
      <c r="H15" s="16" t="str">
        <f>[1]Items!H1</f>
        <v>0</v>
      </c>
      <c r="I15" s="16" t="str">
        <f>[1]Items!I1</f>
        <v>0</v>
      </c>
      <c r="J15" s="16" t="str">
        <f>[1]Items!J1</f>
        <v>0</v>
      </c>
      <c r="K15" s="16" t="str">
        <f>[1]Items!K1</f>
        <v>120</v>
      </c>
      <c r="L15" s="16" t="str">
        <f>[1]Items!L1</f>
        <v>0.25</v>
      </c>
      <c r="M15" s="16" t="str">
        <f>[1]Items!M1</f>
        <v>0.1</v>
      </c>
      <c r="N15" s="16" t="str">
        <f>[1]Items!N1</f>
        <v>1</v>
      </c>
      <c r="O15" s="16" t="str">
        <f>[1]Items!O1</f>
        <v>0</v>
      </c>
      <c r="P15" s="16" t="str">
        <f>[1]Items!P1</f>
        <v>false</v>
      </c>
      <c r="Q15" s="16">
        <f>[1]Items!Q1</f>
        <v>0</v>
      </c>
      <c r="R15" s="16">
        <f>[1]Items!R1</f>
        <v>0</v>
      </c>
      <c r="S15" s="16">
        <f>[1]Items!S1</f>
        <v>0</v>
      </c>
      <c r="W15">
        <f>IF('Dota 2'!$C$6, (Items!C15+Items!E15)*Items!$X$2, (Items!C15+Items!D15)*Items!$X$2)</f>
        <v>19.87281399046168</v>
      </c>
      <c r="X15">
        <f t="shared" ref="X15:X78" si="0">F15*$X$3</f>
        <v>0</v>
      </c>
      <c r="Y15">
        <f>G15*$X$4</f>
        <v>0</v>
      </c>
      <c r="Z15">
        <f>H15*$X$5</f>
        <v>0</v>
      </c>
      <c r="AA15">
        <f>I15*$X$6</f>
        <v>0</v>
      </c>
      <c r="AB15">
        <f>('Dota 2'!$H$10/$Z$4) * (1-($Y$9*($AA$2+J15))/($Y$7+$Y$9*ABS($AA$2+J15)) - $Z$4)</f>
        <v>0</v>
      </c>
      <c r="AC15">
        <f>IF('Dota 2'!$C$6, K15*M15*(1-$Z$3)*'Dota 2'!$H$8, K15*L15*(1-$Z$3)*'Dota 2'!$H$8)</f>
        <v>10.588235294117647</v>
      </c>
      <c r="AD15">
        <f>N15*O15*'Dota 2'!$H$10</f>
        <v>0</v>
      </c>
      <c r="AE15" s="2">
        <f>SUM(W15:AD15)</f>
        <v>30.461049284579325</v>
      </c>
      <c r="AF15" s="17">
        <f>IFERROR(AE15/B15, 0)</f>
        <v>4.8737678855326916E-3</v>
      </c>
    </row>
    <row r="16" spans="1:32" x14ac:dyDescent="0.25">
      <c r="A16" s="6" t="str">
        <f>[1]Items!$A2</f>
        <v>Assassin's Dagger</v>
      </c>
      <c r="B16" s="16" t="str">
        <f>[1]Items!B2</f>
        <v>0</v>
      </c>
      <c r="C16" s="16" t="str">
        <f>[1]Items!C2</f>
        <v>30</v>
      </c>
      <c r="D16" s="16" t="str">
        <f>[1]Items!D2</f>
        <v>0</v>
      </c>
      <c r="E16" s="16" t="str">
        <f>[1]Items!E2</f>
        <v>0</v>
      </c>
      <c r="F16" s="16" t="str">
        <f>[1]Items!F2</f>
        <v>10</v>
      </c>
      <c r="G16" s="16" t="str">
        <f>[1]Items!G2</f>
        <v>0</v>
      </c>
      <c r="H16" s="16" t="str">
        <f>[1]Items!H2</f>
        <v>0</v>
      </c>
      <c r="I16" s="16" t="str">
        <f>[1]Items!I2</f>
        <v>0</v>
      </c>
      <c r="J16" s="16" t="str">
        <f>[1]Items!J2</f>
        <v>0</v>
      </c>
      <c r="K16" s="16" t="str">
        <f>[1]Items!K2</f>
        <v>0</v>
      </c>
      <c r="L16" s="16" t="str">
        <f>[1]Items!L2</f>
        <v>0</v>
      </c>
      <c r="M16" s="16" t="str">
        <f>[1]Items!M2</f>
        <v>0</v>
      </c>
      <c r="N16" s="16" t="str">
        <f>[1]Items!N2</f>
        <v>1</v>
      </c>
      <c r="O16" s="16" t="str">
        <f>[1]Items!O2</f>
        <v>0</v>
      </c>
      <c r="P16" s="16" t="str">
        <f>[1]Items!P2</f>
        <v>true</v>
      </c>
      <c r="Q16" s="16">
        <f>[1]Items!Q2</f>
        <v>0</v>
      </c>
      <c r="R16" s="16">
        <f>[1]Items!R2</f>
        <v>0</v>
      </c>
      <c r="S16" s="16">
        <f>[1]Items!S2</f>
        <v>0</v>
      </c>
      <c r="W16">
        <f>IF('Dota 2'!$C$6, (Items!C16+Items!E16)*Items!$X$2, (Items!C16+Items!D16)*Items!$X$2)</f>
        <v>23.847376788554016</v>
      </c>
      <c r="X16">
        <f t="shared" si="0"/>
        <v>7.9491255961849561</v>
      </c>
      <c r="Y16">
        <f t="shared" ref="Y16:Y79" si="1">G16*$X$4</f>
        <v>0</v>
      </c>
      <c r="Z16">
        <f t="shared" ref="Z16:Z79" si="2">H16*$X$5</f>
        <v>0</v>
      </c>
      <c r="AA16">
        <f t="shared" ref="AA16:AA79" si="3">I16*$X$6</f>
        <v>0</v>
      </c>
      <c r="AB16">
        <f>('Dota 2'!$H$10/$Z$4) * (1-($Y$9*($AA$2+J16))/($Y$7+$Y$9*ABS($AA$2+J16)) - $Z$4)</f>
        <v>0</v>
      </c>
      <c r="AC16">
        <f>IF('Dota 2'!$C$6, K16*M16*(1-$Z$3)*'Dota 2'!$H$8, K16*L16*(1-$Z$3)*'Dota 2'!$H$8)</f>
        <v>0</v>
      </c>
      <c r="AD16">
        <f>N16*O16*'Dota 2'!$H$10</f>
        <v>0</v>
      </c>
      <c r="AE16" s="2">
        <f t="shared" ref="AE16:AE79" si="4">SUM(W16:AD16)</f>
        <v>31.796502384738972</v>
      </c>
      <c r="AF16" s="17">
        <f t="shared" ref="AF16:AF79" si="5">IFERROR(AE16/B16, 0)</f>
        <v>0</v>
      </c>
    </row>
    <row r="17" spans="1:32" x14ac:dyDescent="0.25">
      <c r="A17" s="6" t="str">
        <f>[1]Items!$A3</f>
        <v>Assault Cuirass</v>
      </c>
      <c r="B17" s="16" t="str">
        <f>[1]Items!B3</f>
        <v>5125</v>
      </c>
      <c r="C17" s="16" t="str">
        <f>[1]Items!C3</f>
        <v>0</v>
      </c>
      <c r="D17" s="16" t="str">
        <f>[1]Items!D3</f>
        <v>0</v>
      </c>
      <c r="E17" s="16" t="str">
        <f>[1]Items!E3</f>
        <v>0</v>
      </c>
      <c r="F17" s="16" t="str">
        <f>[1]Items!F3</f>
        <v>30</v>
      </c>
      <c r="G17" s="16" t="str">
        <f>[1]Items!G3</f>
        <v>0</v>
      </c>
      <c r="H17" s="16" t="str">
        <f>[1]Items!H3</f>
        <v>0</v>
      </c>
      <c r="I17" s="16" t="str">
        <f>[1]Items!I3</f>
        <v>0</v>
      </c>
      <c r="J17" s="16" t="str">
        <f>[1]Items!J3</f>
        <v>0</v>
      </c>
      <c r="K17" s="16" t="str">
        <f>[1]Items!K3</f>
        <v>0</v>
      </c>
      <c r="L17" s="16" t="str">
        <f>[1]Items!L3</f>
        <v>0</v>
      </c>
      <c r="M17" s="16" t="str">
        <f>[1]Items!M3</f>
        <v>0</v>
      </c>
      <c r="N17" s="16" t="str">
        <f>[1]Items!N3</f>
        <v>1</v>
      </c>
      <c r="O17" s="16" t="str">
        <f>[1]Items!O3</f>
        <v>0</v>
      </c>
      <c r="P17" s="16" t="str">
        <f>[1]Items!P3</f>
        <v>false</v>
      </c>
      <c r="Q17" s="16">
        <f>[1]Items!Q3</f>
        <v>0</v>
      </c>
      <c r="R17" s="16">
        <f>[1]Items!R3</f>
        <v>0</v>
      </c>
      <c r="S17" s="16">
        <f>[1]Items!S3</f>
        <v>0</v>
      </c>
      <c r="W17">
        <f>IF('Dota 2'!$C$6, (Items!C17+Items!E17)*Items!$X$2, (Items!C17+Items!D17)*Items!$X$2)</f>
        <v>0</v>
      </c>
      <c r="X17">
        <f t="shared" si="0"/>
        <v>23.847376788554868</v>
      </c>
      <c r="Y17">
        <f t="shared" si="1"/>
        <v>0</v>
      </c>
      <c r="Z17">
        <f t="shared" si="2"/>
        <v>0</v>
      </c>
      <c r="AA17">
        <f t="shared" si="3"/>
        <v>0</v>
      </c>
      <c r="AB17">
        <f>('Dota 2'!$H$10/$Z$4) * (1-($Y$9*($AA$2+J17))/($Y$7+$Y$9*ABS($AA$2+J17)) - $Z$4)</f>
        <v>0</v>
      </c>
      <c r="AC17">
        <f>IF('Dota 2'!$C$6, K17*M17*(1-$Z$3)*'Dota 2'!$H$8, K17*L17*(1-$Z$3)*'Dota 2'!$H$8)</f>
        <v>0</v>
      </c>
      <c r="AD17">
        <f>N17*O17*'Dota 2'!$H$10</f>
        <v>0</v>
      </c>
      <c r="AE17" s="2">
        <f t="shared" si="4"/>
        <v>23.847376788554868</v>
      </c>
      <c r="AF17" s="17">
        <f t="shared" si="5"/>
        <v>4.6531466904497307E-3</v>
      </c>
    </row>
    <row r="18" spans="1:32" x14ac:dyDescent="0.25">
      <c r="A18" s="6" t="str">
        <f>[1]Items!$A4</f>
        <v>Ballista</v>
      </c>
      <c r="B18" s="16" t="str">
        <f>[1]Items!B4</f>
        <v>0</v>
      </c>
      <c r="C18" s="16" t="str">
        <f>[1]Items!C4</f>
        <v>50</v>
      </c>
      <c r="D18" s="16" t="str">
        <f>[1]Items!D4</f>
        <v>0</v>
      </c>
      <c r="E18" s="16" t="str">
        <f>[1]Items!E4</f>
        <v>0</v>
      </c>
      <c r="F18" s="16" t="str">
        <f>[1]Items!F4</f>
        <v>0</v>
      </c>
      <c r="G18" s="16" t="str">
        <f>[1]Items!G4</f>
        <v>0</v>
      </c>
      <c r="H18" s="16" t="str">
        <f>[1]Items!H4</f>
        <v>0</v>
      </c>
      <c r="I18" s="16" t="str">
        <f>[1]Items!I4</f>
        <v>0</v>
      </c>
      <c r="J18" s="16" t="str">
        <f>[1]Items!J4</f>
        <v>0</v>
      </c>
      <c r="K18" s="16" t="str">
        <f>[1]Items!K4</f>
        <v>0</v>
      </c>
      <c r="L18" s="16" t="str">
        <f>[1]Items!L4</f>
        <v>0</v>
      </c>
      <c r="M18" s="16" t="str">
        <f>[1]Items!M4</f>
        <v>0</v>
      </c>
      <c r="N18" s="16" t="str">
        <f>[1]Items!N4</f>
        <v>1</v>
      </c>
      <c r="O18" s="16" t="str">
        <f>[1]Items!O4</f>
        <v>0</v>
      </c>
      <c r="P18" s="16" t="str">
        <f>[1]Items!P4</f>
        <v>true</v>
      </c>
      <c r="Q18" s="16">
        <f>[1]Items!Q4</f>
        <v>0</v>
      </c>
      <c r="R18" s="16">
        <f>[1]Items!R4</f>
        <v>0</v>
      </c>
      <c r="S18" s="16">
        <f>[1]Items!S4</f>
        <v>0</v>
      </c>
      <c r="W18">
        <f>IF('Dota 2'!$C$6, (Items!C18+Items!E18)*Items!$X$2, (Items!C18+Items!D18)*Items!$X$2)</f>
        <v>39.745627980923359</v>
      </c>
      <c r="X18">
        <f t="shared" si="0"/>
        <v>0</v>
      </c>
      <c r="Y18">
        <f t="shared" si="1"/>
        <v>0</v>
      </c>
      <c r="Z18">
        <f t="shared" si="2"/>
        <v>0</v>
      </c>
      <c r="AA18">
        <f t="shared" si="3"/>
        <v>0</v>
      </c>
      <c r="AB18">
        <f>('Dota 2'!$H$10/$Z$4) * (1-($Y$9*($AA$2+J18))/($Y$7+$Y$9*ABS($AA$2+J18)) - $Z$4)</f>
        <v>0</v>
      </c>
      <c r="AC18">
        <f>IF('Dota 2'!$C$6, K18*M18*(1-$Z$3)*'Dota 2'!$H$8, K18*L18*(1-$Z$3)*'Dota 2'!$H$8)</f>
        <v>0</v>
      </c>
      <c r="AD18">
        <f>N18*O18*'Dota 2'!$H$10</f>
        <v>0</v>
      </c>
      <c r="AE18" s="2">
        <f t="shared" si="4"/>
        <v>39.745627980923359</v>
      </c>
      <c r="AF18" s="17">
        <f t="shared" si="5"/>
        <v>0</v>
      </c>
    </row>
    <row r="19" spans="1:32" x14ac:dyDescent="0.25">
      <c r="A19" s="6" t="str">
        <f>[1]Items!$A5</f>
        <v>Skull Basher</v>
      </c>
      <c r="B19" s="16" t="str">
        <f>[1]Items!B5</f>
        <v>2875</v>
      </c>
      <c r="C19" s="16" t="str">
        <f>[1]Items!C5</f>
        <v>25</v>
      </c>
      <c r="D19" s="16" t="str">
        <f>[1]Items!D5</f>
        <v>0</v>
      </c>
      <c r="E19" s="16" t="str">
        <f>[1]Items!E5</f>
        <v>0</v>
      </c>
      <c r="F19" s="16" t="str">
        <f>[1]Items!F5</f>
        <v>0</v>
      </c>
      <c r="G19" s="16" t="str">
        <f>[1]Items!G5</f>
        <v>10</v>
      </c>
      <c r="H19" s="16" t="str">
        <f>[1]Items!H5</f>
        <v>0</v>
      </c>
      <c r="I19" s="16" t="str">
        <f>[1]Items!I5</f>
        <v>0</v>
      </c>
      <c r="J19" s="16" t="str">
        <f>[1]Items!J5</f>
        <v>0</v>
      </c>
      <c r="K19" s="16" t="str">
        <f>[1]Items!K5</f>
        <v>100</v>
      </c>
      <c r="L19" s="16" t="str">
        <f>[1]Items!L5</f>
        <v>0.25</v>
      </c>
      <c r="M19" s="16" t="str">
        <f>[1]Items!M5</f>
        <v>0.1</v>
      </c>
      <c r="N19" s="16" t="str">
        <f>[1]Items!N5</f>
        <v>1</v>
      </c>
      <c r="O19" s="16" t="str">
        <f>[1]Items!O5</f>
        <v>0</v>
      </c>
      <c r="P19" s="16" t="str">
        <f>[1]Items!P5</f>
        <v>false</v>
      </c>
      <c r="Q19" s="16">
        <f>[1]Items!Q5</f>
        <v>0</v>
      </c>
      <c r="R19" s="16">
        <f>[1]Items!R5</f>
        <v>0</v>
      </c>
      <c r="S19" s="16">
        <f>[1]Items!S5</f>
        <v>0</v>
      </c>
      <c r="W19">
        <f>IF('Dota 2'!$C$6, (Items!C19+Items!E19)*Items!$X$2, (Items!C19+Items!D19)*Items!$X$2)</f>
        <v>19.87281399046168</v>
      </c>
      <c r="X19">
        <f t="shared" si="0"/>
        <v>0</v>
      </c>
      <c r="Y19">
        <f t="shared" si="1"/>
        <v>0</v>
      </c>
      <c r="Z19">
        <f t="shared" si="2"/>
        <v>0</v>
      </c>
      <c r="AA19">
        <f t="shared" si="3"/>
        <v>0</v>
      </c>
      <c r="AB19">
        <f>('Dota 2'!$H$10/$Z$4) * (1-($Y$9*($AA$2+J19))/($Y$7+$Y$9*ABS($AA$2+J19)) - $Z$4)</f>
        <v>0</v>
      </c>
      <c r="AC19">
        <f>IF('Dota 2'!$C$6, K19*M19*(1-$Z$3)*'Dota 2'!$H$8, K19*L19*(1-$Z$3)*'Dota 2'!$H$8)</f>
        <v>8.8235294117647065</v>
      </c>
      <c r="AD19">
        <f>N19*O19*'Dota 2'!$H$10</f>
        <v>0</v>
      </c>
      <c r="AE19" s="2">
        <f t="shared" si="4"/>
        <v>28.696343402226386</v>
      </c>
      <c r="AF19" s="17">
        <f t="shared" si="5"/>
        <v>9.9813368355570042E-3</v>
      </c>
    </row>
    <row r="20" spans="1:32" x14ac:dyDescent="0.25">
      <c r="A20" s="6" t="str">
        <f>[1]Items!$A6</f>
        <v>Belt of Strength</v>
      </c>
      <c r="B20" s="16" t="str">
        <f>[1]Items!B6</f>
        <v>450</v>
      </c>
      <c r="C20" s="16" t="str">
        <f>[1]Items!C6</f>
        <v>0</v>
      </c>
      <c r="D20" s="16" t="str">
        <f>[1]Items!D6</f>
        <v>0</v>
      </c>
      <c r="E20" s="16" t="str">
        <f>[1]Items!E6</f>
        <v>0</v>
      </c>
      <c r="F20" s="16" t="str">
        <f>[1]Items!F6</f>
        <v>0</v>
      </c>
      <c r="G20" s="16" t="str">
        <f>[1]Items!G6</f>
        <v>6</v>
      </c>
      <c r="H20" s="16" t="str">
        <f>[1]Items!H6</f>
        <v>0</v>
      </c>
      <c r="I20" s="16" t="str">
        <f>[1]Items!I6</f>
        <v>0</v>
      </c>
      <c r="J20" s="16" t="str">
        <f>[1]Items!J6</f>
        <v>0</v>
      </c>
      <c r="K20" s="16" t="str">
        <f>[1]Items!K6</f>
        <v>0</v>
      </c>
      <c r="L20" s="16" t="str">
        <f>[1]Items!L6</f>
        <v>0</v>
      </c>
      <c r="M20" s="16" t="str">
        <f>[1]Items!M6</f>
        <v>0</v>
      </c>
      <c r="N20" s="16" t="str">
        <f>[1]Items!N6</f>
        <v>1</v>
      </c>
      <c r="O20" s="16" t="str">
        <f>[1]Items!O6</f>
        <v>0</v>
      </c>
      <c r="P20" s="16" t="str">
        <f>[1]Items!P6</f>
        <v>false</v>
      </c>
      <c r="Q20" s="16">
        <f>[1]Items!Q6</f>
        <v>0</v>
      </c>
      <c r="R20" s="16">
        <f>[1]Items!R6</f>
        <v>0</v>
      </c>
      <c r="S20" s="16">
        <f>[1]Items!S6</f>
        <v>0</v>
      </c>
      <c r="W20">
        <f>IF('Dota 2'!$C$6, (Items!C20+Items!E20)*Items!$X$2, (Items!C20+Items!D20)*Items!$X$2)</f>
        <v>0</v>
      </c>
      <c r="X20">
        <f t="shared" si="0"/>
        <v>0</v>
      </c>
      <c r="Y20">
        <f t="shared" si="1"/>
        <v>0</v>
      </c>
      <c r="Z20">
        <f t="shared" si="2"/>
        <v>0</v>
      </c>
      <c r="AA20">
        <f t="shared" si="3"/>
        <v>0</v>
      </c>
      <c r="AB20">
        <f>('Dota 2'!$H$10/$Z$4) * (1-($Y$9*($AA$2+J20))/($Y$7+$Y$9*ABS($AA$2+J20)) - $Z$4)</f>
        <v>0</v>
      </c>
      <c r="AC20">
        <f>IF('Dota 2'!$C$6, K20*M20*(1-$Z$3)*'Dota 2'!$H$8, K20*L20*(1-$Z$3)*'Dota 2'!$H$8)</f>
        <v>0</v>
      </c>
      <c r="AD20">
        <f>N20*O20*'Dota 2'!$H$10</f>
        <v>0</v>
      </c>
      <c r="AE20" s="2">
        <f t="shared" si="4"/>
        <v>0</v>
      </c>
      <c r="AF20" s="17">
        <f t="shared" si="5"/>
        <v>0</v>
      </c>
    </row>
    <row r="21" spans="1:32" x14ac:dyDescent="0.25">
      <c r="A21" s="6" t="str">
        <f>[1]Items!$A7</f>
        <v>Battle Fury</v>
      </c>
      <c r="B21" s="16" t="str">
        <f>[1]Items!B7</f>
        <v>4100</v>
      </c>
      <c r="C21" s="16" t="str">
        <f>[1]Items!C7</f>
        <v>60</v>
      </c>
      <c r="D21" s="16" t="str">
        <f>[1]Items!D7</f>
        <v>0</v>
      </c>
      <c r="E21" s="16" t="str">
        <f>[1]Items!E7</f>
        <v>0</v>
      </c>
      <c r="F21" s="16" t="str">
        <f>[1]Items!F7</f>
        <v>0</v>
      </c>
      <c r="G21" s="16" t="str">
        <f>[1]Items!G7</f>
        <v>0</v>
      </c>
      <c r="H21" s="16" t="str">
        <f>[1]Items!H7</f>
        <v>0</v>
      </c>
      <c r="I21" s="16" t="str">
        <f>[1]Items!I7</f>
        <v>0</v>
      </c>
      <c r="J21" s="16" t="str">
        <f>[1]Items!J7</f>
        <v>0</v>
      </c>
      <c r="K21" s="16" t="str">
        <f>[1]Items!K7</f>
        <v>0</v>
      </c>
      <c r="L21" s="16" t="str">
        <f>[1]Items!L7</f>
        <v>0</v>
      </c>
      <c r="M21" s="16" t="str">
        <f>[1]Items!M7</f>
        <v>0</v>
      </c>
      <c r="N21" s="16" t="str">
        <f>[1]Items!N7</f>
        <v>1</v>
      </c>
      <c r="O21" s="16" t="str">
        <f>[1]Items!O7</f>
        <v>0</v>
      </c>
      <c r="P21" s="16" t="str">
        <f>[1]Items!P7</f>
        <v>false</v>
      </c>
      <c r="Q21" s="16">
        <f>[1]Items!Q7</f>
        <v>0</v>
      </c>
      <c r="R21" s="16">
        <f>[1]Items!R7</f>
        <v>0</v>
      </c>
      <c r="S21" s="16">
        <f>[1]Items!S7</f>
        <v>0</v>
      </c>
      <c r="W21">
        <f>IF('Dota 2'!$C$6, (Items!C21+Items!E21)*Items!$X$2, (Items!C21+Items!D21)*Items!$X$2)</f>
        <v>47.694753577108031</v>
      </c>
      <c r="X21">
        <f t="shared" si="0"/>
        <v>0</v>
      </c>
      <c r="Y21">
        <f t="shared" si="1"/>
        <v>0</v>
      </c>
      <c r="Z21">
        <f t="shared" si="2"/>
        <v>0</v>
      </c>
      <c r="AA21">
        <f t="shared" si="3"/>
        <v>0</v>
      </c>
      <c r="AB21">
        <f>('Dota 2'!$H$10/$Z$4) * (1-($Y$9*($AA$2+J21))/($Y$7+$Y$9*ABS($AA$2+J21)) - $Z$4)</f>
        <v>0</v>
      </c>
      <c r="AC21">
        <f>IF('Dota 2'!$C$6, K21*M21*(1-$Z$3)*'Dota 2'!$H$8, K21*L21*(1-$Z$3)*'Dota 2'!$H$8)</f>
        <v>0</v>
      </c>
      <c r="AD21">
        <f>N21*O21*'Dota 2'!$H$10</f>
        <v>0</v>
      </c>
      <c r="AE21" s="2">
        <f t="shared" si="4"/>
        <v>47.694753577108031</v>
      </c>
      <c r="AF21" s="17">
        <f t="shared" si="5"/>
        <v>1.163286672612391E-2</v>
      </c>
    </row>
    <row r="22" spans="1:32" x14ac:dyDescent="0.25">
      <c r="A22" s="6" t="str">
        <f>[1]Items!$A8</f>
        <v>Black King Bar</v>
      </c>
      <c r="B22" s="16" t="str">
        <f>[1]Items!B8</f>
        <v>4050</v>
      </c>
      <c r="C22" s="16" t="str">
        <f>[1]Items!C8</f>
        <v>24</v>
      </c>
      <c r="D22" s="16" t="str">
        <f>[1]Items!D8</f>
        <v>0</v>
      </c>
      <c r="E22" s="16" t="str">
        <f>[1]Items!E8</f>
        <v>0</v>
      </c>
      <c r="F22" s="16" t="str">
        <f>[1]Items!F8</f>
        <v>0</v>
      </c>
      <c r="G22" s="16" t="str">
        <f>[1]Items!G8</f>
        <v>10</v>
      </c>
      <c r="H22" s="16" t="str">
        <f>[1]Items!H8</f>
        <v>0</v>
      </c>
      <c r="I22" s="16" t="str">
        <f>[1]Items!I8</f>
        <v>0</v>
      </c>
      <c r="J22" s="16" t="str">
        <f>[1]Items!J8</f>
        <v>0</v>
      </c>
      <c r="K22" s="16" t="str">
        <f>[1]Items!K8</f>
        <v>0</v>
      </c>
      <c r="L22" s="16" t="str">
        <f>[1]Items!L8</f>
        <v>0</v>
      </c>
      <c r="M22" s="16" t="str">
        <f>[1]Items!M8</f>
        <v>0</v>
      </c>
      <c r="N22" s="16" t="str">
        <f>[1]Items!N8</f>
        <v>1</v>
      </c>
      <c r="O22" s="16" t="str">
        <f>[1]Items!O8</f>
        <v>0</v>
      </c>
      <c r="P22" s="16" t="str">
        <f>[1]Items!P8</f>
        <v>false</v>
      </c>
      <c r="Q22" s="16">
        <f>[1]Items!Q8</f>
        <v>0</v>
      </c>
      <c r="R22" s="16">
        <f>[1]Items!R8</f>
        <v>0</v>
      </c>
      <c r="S22" s="16">
        <f>[1]Items!S8</f>
        <v>0</v>
      </c>
      <c r="W22">
        <f>IF('Dota 2'!$C$6, (Items!C22+Items!E22)*Items!$X$2, (Items!C22+Items!D22)*Items!$X$2)</f>
        <v>19.077901430843212</v>
      </c>
      <c r="X22">
        <f t="shared" si="0"/>
        <v>0</v>
      </c>
      <c r="Y22">
        <f t="shared" si="1"/>
        <v>0</v>
      </c>
      <c r="Z22">
        <f t="shared" si="2"/>
        <v>0</v>
      </c>
      <c r="AA22">
        <f t="shared" si="3"/>
        <v>0</v>
      </c>
      <c r="AB22">
        <f>('Dota 2'!$H$10/$Z$4) * (1-($Y$9*($AA$2+J22))/($Y$7+$Y$9*ABS($AA$2+J22)) - $Z$4)</f>
        <v>0</v>
      </c>
      <c r="AC22">
        <f>IF('Dota 2'!$C$6, K22*M22*(1-$Z$3)*'Dota 2'!$H$8, K22*L22*(1-$Z$3)*'Dota 2'!$H$8)</f>
        <v>0</v>
      </c>
      <c r="AD22">
        <f>N22*O22*'Dota 2'!$H$10</f>
        <v>0</v>
      </c>
      <c r="AE22" s="2">
        <f t="shared" si="4"/>
        <v>19.077901430843212</v>
      </c>
      <c r="AF22" s="17">
        <f t="shared" si="5"/>
        <v>4.7105929458872127E-3</v>
      </c>
    </row>
    <row r="23" spans="1:32" x14ac:dyDescent="0.25">
      <c r="A23" s="6" t="str">
        <f>[1]Items!$A9</f>
        <v>Blade Mail</v>
      </c>
      <c r="B23" s="16" t="str">
        <f>[1]Items!B9</f>
        <v>2100</v>
      </c>
      <c r="C23" s="16" t="str">
        <f>[1]Items!C9</f>
        <v>28</v>
      </c>
      <c r="D23" s="16" t="str">
        <f>[1]Items!D9</f>
        <v>0</v>
      </c>
      <c r="E23" s="16" t="str">
        <f>[1]Items!E9</f>
        <v>0</v>
      </c>
      <c r="F23" s="16" t="str">
        <f>[1]Items!F9</f>
        <v>0</v>
      </c>
      <c r="G23" s="16" t="str">
        <f>[1]Items!G9</f>
        <v>0</v>
      </c>
      <c r="H23" s="16" t="str">
        <f>[1]Items!H9</f>
        <v>0</v>
      </c>
      <c r="I23" s="16" t="str">
        <f>[1]Items!I9</f>
        <v>0</v>
      </c>
      <c r="J23" s="16" t="str">
        <f>[1]Items!J9</f>
        <v>0</v>
      </c>
      <c r="K23" s="16" t="str">
        <f>[1]Items!K9</f>
        <v>0</v>
      </c>
      <c r="L23" s="16" t="str">
        <f>[1]Items!L9</f>
        <v>0</v>
      </c>
      <c r="M23" s="16" t="str">
        <f>[1]Items!M9</f>
        <v>0</v>
      </c>
      <c r="N23" s="16" t="str">
        <f>[1]Items!N9</f>
        <v>1</v>
      </c>
      <c r="O23" s="16" t="str">
        <f>[1]Items!O9</f>
        <v>0</v>
      </c>
      <c r="P23" s="16" t="str">
        <f>[1]Items!P9</f>
        <v>false</v>
      </c>
      <c r="Q23" s="16">
        <f>[1]Items!Q9</f>
        <v>0</v>
      </c>
      <c r="R23" s="16">
        <f>[1]Items!R9</f>
        <v>0</v>
      </c>
      <c r="S23" s="16">
        <f>[1]Items!S9</f>
        <v>0</v>
      </c>
      <c r="W23">
        <f>IF('Dota 2'!$C$6, (Items!C23+Items!E23)*Items!$X$2, (Items!C23+Items!D23)*Items!$X$2)</f>
        <v>22.257551669317081</v>
      </c>
      <c r="X23">
        <f t="shared" si="0"/>
        <v>0</v>
      </c>
      <c r="Y23">
        <f t="shared" si="1"/>
        <v>0</v>
      </c>
      <c r="Z23">
        <f t="shared" si="2"/>
        <v>0</v>
      </c>
      <c r="AA23">
        <f t="shared" si="3"/>
        <v>0</v>
      </c>
      <c r="AB23">
        <f>('Dota 2'!$H$10/$Z$4) * (1-($Y$9*($AA$2+J23))/($Y$7+$Y$9*ABS($AA$2+J23)) - $Z$4)</f>
        <v>0</v>
      </c>
      <c r="AC23">
        <f>IF('Dota 2'!$C$6, K23*M23*(1-$Z$3)*'Dota 2'!$H$8, K23*L23*(1-$Z$3)*'Dota 2'!$H$8)</f>
        <v>0</v>
      </c>
      <c r="AD23">
        <f>N23*O23*'Dota 2'!$H$10</f>
        <v>0</v>
      </c>
      <c r="AE23" s="2">
        <f t="shared" si="4"/>
        <v>22.257551669317081</v>
      </c>
      <c r="AF23" s="17">
        <f t="shared" si="5"/>
        <v>1.0598834128246229E-2</v>
      </c>
    </row>
    <row r="24" spans="1:32" x14ac:dyDescent="0.25">
      <c r="A24" s="6" t="str">
        <f>[1]Items!$A10</f>
        <v>Blade of Alacrity</v>
      </c>
      <c r="B24" s="16" t="str">
        <f>[1]Items!B10</f>
        <v>1000</v>
      </c>
      <c r="C24" s="16" t="str">
        <f>[1]Items!C10</f>
        <v>0</v>
      </c>
      <c r="D24" s="16" t="str">
        <f>[1]Items!D10</f>
        <v>0</v>
      </c>
      <c r="E24" s="16" t="str">
        <f>[1]Items!E10</f>
        <v>0</v>
      </c>
      <c r="F24" s="16" t="str">
        <f>[1]Items!F10</f>
        <v>0</v>
      </c>
      <c r="G24" s="16" t="str">
        <f>[1]Items!G10</f>
        <v>0</v>
      </c>
      <c r="H24" s="16" t="str">
        <f>[1]Items!H10</f>
        <v>10</v>
      </c>
      <c r="I24" s="16" t="str">
        <f>[1]Items!I10</f>
        <v>0</v>
      </c>
      <c r="J24" s="16" t="str">
        <f>[1]Items!J10</f>
        <v>0</v>
      </c>
      <c r="K24" s="16" t="str">
        <f>[1]Items!K10</f>
        <v>0</v>
      </c>
      <c r="L24" s="16" t="str">
        <f>[1]Items!L10</f>
        <v>0</v>
      </c>
      <c r="M24" s="16" t="str">
        <f>[1]Items!M10</f>
        <v>0</v>
      </c>
      <c r="N24" s="16" t="str">
        <f>[1]Items!N10</f>
        <v>1</v>
      </c>
      <c r="O24" s="16" t="str">
        <f>[1]Items!O10</f>
        <v>0</v>
      </c>
      <c r="P24" s="16" t="str">
        <f>[1]Items!P10</f>
        <v>false</v>
      </c>
      <c r="Q24" s="16">
        <f>[1]Items!Q10</f>
        <v>0</v>
      </c>
      <c r="R24" s="16">
        <f>[1]Items!R10</f>
        <v>0</v>
      </c>
      <c r="S24" s="16">
        <f>[1]Items!S10</f>
        <v>0</v>
      </c>
      <c r="W24">
        <f>IF('Dota 2'!$C$6, (Items!C24+Items!E24)*Items!$X$2, (Items!C24+Items!D24)*Items!$X$2)</f>
        <v>0</v>
      </c>
      <c r="X24">
        <f t="shared" si="0"/>
        <v>0</v>
      </c>
      <c r="Y24">
        <f t="shared" si="1"/>
        <v>0</v>
      </c>
      <c r="Z24">
        <f t="shared" si="2"/>
        <v>15.898251192369628</v>
      </c>
      <c r="AA24">
        <f t="shared" si="3"/>
        <v>0</v>
      </c>
      <c r="AB24">
        <f>('Dota 2'!$H$10/$Z$4) * (1-($Y$9*($AA$2+J24))/($Y$7+$Y$9*ABS($AA$2+J24)) - $Z$4)</f>
        <v>0</v>
      </c>
      <c r="AC24">
        <f>IF('Dota 2'!$C$6, K24*M24*(1-$Z$3)*'Dota 2'!$H$8, K24*L24*(1-$Z$3)*'Dota 2'!$H$8)</f>
        <v>0</v>
      </c>
      <c r="AD24">
        <f>N24*O24*'Dota 2'!$H$10</f>
        <v>0</v>
      </c>
      <c r="AE24" s="2">
        <f t="shared" si="4"/>
        <v>15.898251192369628</v>
      </c>
      <c r="AF24" s="17">
        <f t="shared" si="5"/>
        <v>1.5898251192369629E-2</v>
      </c>
    </row>
    <row r="25" spans="1:32" x14ac:dyDescent="0.25">
      <c r="A25" s="6" t="str">
        <f>[1]Items!$A11</f>
        <v>Blades of Attack</v>
      </c>
      <c r="B25" s="16" t="str">
        <f>[1]Items!B11</f>
        <v>450</v>
      </c>
      <c r="C25" s="16" t="str">
        <f>[1]Items!C11</f>
        <v>9</v>
      </c>
      <c r="D25" s="16" t="str">
        <f>[1]Items!D11</f>
        <v>0</v>
      </c>
      <c r="E25" s="16" t="str">
        <f>[1]Items!E11</f>
        <v>0</v>
      </c>
      <c r="F25" s="16" t="str">
        <f>[1]Items!F11</f>
        <v>0</v>
      </c>
      <c r="G25" s="16" t="str">
        <f>[1]Items!G11</f>
        <v>0</v>
      </c>
      <c r="H25" s="16" t="str">
        <f>[1]Items!H11</f>
        <v>0</v>
      </c>
      <c r="I25" s="16" t="str">
        <f>[1]Items!I11</f>
        <v>0</v>
      </c>
      <c r="J25" s="16" t="str">
        <f>[1]Items!J11</f>
        <v>0</v>
      </c>
      <c r="K25" s="16" t="str">
        <f>[1]Items!K11</f>
        <v>0</v>
      </c>
      <c r="L25" s="16" t="str">
        <f>[1]Items!L11</f>
        <v>0</v>
      </c>
      <c r="M25" s="16" t="str">
        <f>[1]Items!M11</f>
        <v>0</v>
      </c>
      <c r="N25" s="16" t="str">
        <f>[1]Items!N11</f>
        <v>1</v>
      </c>
      <c r="O25" s="16" t="str">
        <f>[1]Items!O11</f>
        <v>0</v>
      </c>
      <c r="P25" s="16" t="str">
        <f>[1]Items!P11</f>
        <v>false</v>
      </c>
      <c r="Q25" s="16">
        <f>[1]Items!Q11</f>
        <v>0</v>
      </c>
      <c r="R25" s="16">
        <f>[1]Items!R11</f>
        <v>0</v>
      </c>
      <c r="S25" s="16">
        <f>[1]Items!S11</f>
        <v>0</v>
      </c>
      <c r="W25">
        <f>IF('Dota 2'!$C$6, (Items!C25+Items!E25)*Items!$X$2, (Items!C25+Items!D25)*Items!$X$2)</f>
        <v>7.1542130365662047</v>
      </c>
      <c r="X25">
        <f t="shared" si="0"/>
        <v>0</v>
      </c>
      <c r="Y25">
        <f t="shared" si="1"/>
        <v>0</v>
      </c>
      <c r="Z25">
        <f t="shared" si="2"/>
        <v>0</v>
      </c>
      <c r="AA25">
        <f t="shared" si="3"/>
        <v>0</v>
      </c>
      <c r="AB25">
        <f>('Dota 2'!$H$10/$Z$4) * (1-($Y$9*($AA$2+J25))/($Y$7+$Y$9*ABS($AA$2+J25)) - $Z$4)</f>
        <v>0</v>
      </c>
      <c r="AC25">
        <f>IF('Dota 2'!$C$6, K25*M25*(1-$Z$3)*'Dota 2'!$H$8, K25*L25*(1-$Z$3)*'Dota 2'!$H$8)</f>
        <v>0</v>
      </c>
      <c r="AD25">
        <f>N25*O25*'Dota 2'!$H$10</f>
        <v>0</v>
      </c>
      <c r="AE25" s="2">
        <f t="shared" si="4"/>
        <v>7.1542130365662047</v>
      </c>
      <c r="AF25" s="17">
        <f t="shared" si="5"/>
        <v>1.5898251192369345E-2</v>
      </c>
    </row>
    <row r="26" spans="1:32" x14ac:dyDescent="0.25">
      <c r="A26" s="6" t="str">
        <f>[1]Items!$A12</f>
        <v>Blight Stone</v>
      </c>
      <c r="B26" s="16" t="str">
        <f>[1]Items!B12</f>
        <v>300</v>
      </c>
      <c r="C26" s="16" t="str">
        <f>[1]Items!C12</f>
        <v>0</v>
      </c>
      <c r="D26" s="16" t="str">
        <f>[1]Items!D12</f>
        <v>0</v>
      </c>
      <c r="E26" s="16" t="str">
        <f>[1]Items!E12</f>
        <v>0</v>
      </c>
      <c r="F26" s="16" t="str">
        <f>[1]Items!F12</f>
        <v>0</v>
      </c>
      <c r="G26" s="16" t="str">
        <f>[1]Items!G12</f>
        <v>0</v>
      </c>
      <c r="H26" s="16" t="str">
        <f>[1]Items!H12</f>
        <v>0</v>
      </c>
      <c r="I26" s="16" t="str">
        <f>[1]Items!I12</f>
        <v>0</v>
      </c>
      <c r="J26" s="16" t="str">
        <f>[1]Items!J12</f>
        <v>-2</v>
      </c>
      <c r="K26" s="16" t="str">
        <f>[1]Items!K12</f>
        <v>0</v>
      </c>
      <c r="L26" s="16" t="str">
        <f>[1]Items!L12</f>
        <v>0</v>
      </c>
      <c r="M26" s="16" t="str">
        <f>[1]Items!M12</f>
        <v>0</v>
      </c>
      <c r="N26" s="16" t="str">
        <f>[1]Items!N12</f>
        <v>1</v>
      </c>
      <c r="O26" s="16" t="str">
        <f>[1]Items!O12</f>
        <v>0</v>
      </c>
      <c r="P26" s="16" t="str">
        <f>[1]Items!P12</f>
        <v>false</v>
      </c>
      <c r="Q26" s="16">
        <f>[1]Items!Q12</f>
        <v>0</v>
      </c>
      <c r="R26" s="16">
        <f>[1]Items!R12</f>
        <v>0</v>
      </c>
      <c r="S26" s="16">
        <f>[1]Items!S12</f>
        <v>0</v>
      </c>
      <c r="W26">
        <f>IF('Dota 2'!$C$6, (Items!C26+Items!E26)*Items!$X$2, (Items!C26+Items!D26)*Items!$X$2)</f>
        <v>0</v>
      </c>
      <c r="X26">
        <f t="shared" si="0"/>
        <v>0</v>
      </c>
      <c r="Y26">
        <f t="shared" si="1"/>
        <v>0</v>
      </c>
      <c r="Z26">
        <f t="shared" si="2"/>
        <v>0</v>
      </c>
      <c r="AA26">
        <f t="shared" si="3"/>
        <v>0</v>
      </c>
      <c r="AB26">
        <f>('Dota 2'!$H$10/$Z$4) * (1-($Y$9*($AA$2+J26))/($Y$7+$Y$9*ABS($AA$2+J26)) - $Z$4)</f>
        <v>14.027868699148991</v>
      </c>
      <c r="AC26">
        <f>IF('Dota 2'!$C$6, K26*M26*(1-$Z$3)*'Dota 2'!$H$8, K26*L26*(1-$Z$3)*'Dota 2'!$H$8)</f>
        <v>0</v>
      </c>
      <c r="AD26">
        <f>N26*O26*'Dota 2'!$H$10</f>
        <v>0</v>
      </c>
      <c r="AE26" s="2">
        <f t="shared" si="4"/>
        <v>14.027868699148991</v>
      </c>
      <c r="AF26" s="17">
        <f t="shared" si="5"/>
        <v>4.6759562330496635E-2</v>
      </c>
    </row>
    <row r="27" spans="1:32" x14ac:dyDescent="0.25">
      <c r="A27" s="6" t="str">
        <f>[1]Items!$A13</f>
        <v>Blitz Knuckles</v>
      </c>
      <c r="B27" s="16" t="str">
        <f>[1]Items!B13</f>
        <v>1000</v>
      </c>
      <c r="C27" s="16" t="str">
        <f>[1]Items!C13</f>
        <v>0</v>
      </c>
      <c r="D27" s="16" t="str">
        <f>[1]Items!D13</f>
        <v>0</v>
      </c>
      <c r="E27" s="16" t="str">
        <f>[1]Items!E13</f>
        <v>0</v>
      </c>
      <c r="F27" s="16" t="str">
        <f>[1]Items!F13</f>
        <v>35</v>
      </c>
      <c r="G27" s="16" t="str">
        <f>[1]Items!G13</f>
        <v>0</v>
      </c>
      <c r="H27" s="16" t="str">
        <f>[1]Items!H13</f>
        <v>0</v>
      </c>
      <c r="I27" s="16" t="str">
        <f>[1]Items!I13</f>
        <v>0</v>
      </c>
      <c r="J27" s="16" t="str">
        <f>[1]Items!J13</f>
        <v>0</v>
      </c>
      <c r="K27" s="16" t="str">
        <f>[1]Items!K13</f>
        <v>0</v>
      </c>
      <c r="L27" s="16" t="str">
        <f>[1]Items!L13</f>
        <v>0</v>
      </c>
      <c r="M27" s="16" t="str">
        <f>[1]Items!M13</f>
        <v>0</v>
      </c>
      <c r="N27" s="16" t="str">
        <f>[1]Items!N13</f>
        <v>1</v>
      </c>
      <c r="O27" s="16" t="str">
        <f>[1]Items!O13</f>
        <v>0</v>
      </c>
      <c r="P27" s="16" t="str">
        <f>[1]Items!P13</f>
        <v>false</v>
      </c>
      <c r="Q27" s="16">
        <f>[1]Items!Q13</f>
        <v>0</v>
      </c>
      <c r="R27" s="16">
        <f>[1]Items!R13</f>
        <v>0</v>
      </c>
      <c r="S27" s="16">
        <f>[1]Items!S13</f>
        <v>0</v>
      </c>
      <c r="W27">
        <f>IF('Dota 2'!$C$6, (Items!C27+Items!E27)*Items!$X$2, (Items!C27+Items!D27)*Items!$X$2)</f>
        <v>0</v>
      </c>
      <c r="X27">
        <f t="shared" si="0"/>
        <v>27.821939586647346</v>
      </c>
      <c r="Y27">
        <f t="shared" si="1"/>
        <v>0</v>
      </c>
      <c r="Z27">
        <f t="shared" si="2"/>
        <v>0</v>
      </c>
      <c r="AA27">
        <f t="shared" si="3"/>
        <v>0</v>
      </c>
      <c r="AB27">
        <f>('Dota 2'!$H$10/$Z$4) * (1-($Y$9*($AA$2+J27))/($Y$7+$Y$9*ABS($AA$2+J27)) - $Z$4)</f>
        <v>0</v>
      </c>
      <c r="AC27">
        <f>IF('Dota 2'!$C$6, K27*M27*(1-$Z$3)*'Dota 2'!$H$8, K27*L27*(1-$Z$3)*'Dota 2'!$H$8)</f>
        <v>0</v>
      </c>
      <c r="AD27">
        <f>N27*O27*'Dota 2'!$H$10</f>
        <v>0</v>
      </c>
      <c r="AE27" s="2">
        <f t="shared" si="4"/>
        <v>27.821939586647346</v>
      </c>
      <c r="AF27" s="17">
        <f t="shared" si="5"/>
        <v>2.7821939586647346E-2</v>
      </c>
    </row>
    <row r="28" spans="1:32" x14ac:dyDescent="0.25">
      <c r="A28" s="6" t="str">
        <f>[1]Items!$A14</f>
        <v>Band of Elvenskin</v>
      </c>
      <c r="B28" s="16" t="str">
        <f>[1]Items!B14</f>
        <v>450</v>
      </c>
      <c r="C28" s="16" t="str">
        <f>[1]Items!C14</f>
        <v>0</v>
      </c>
      <c r="D28" s="16" t="str">
        <f>[1]Items!D14</f>
        <v>0</v>
      </c>
      <c r="E28" s="16" t="str">
        <f>[1]Items!E14</f>
        <v>0</v>
      </c>
      <c r="F28" s="16" t="str">
        <f>[1]Items!F14</f>
        <v>0</v>
      </c>
      <c r="G28" s="16" t="str">
        <f>[1]Items!G14</f>
        <v>0</v>
      </c>
      <c r="H28" s="16" t="str">
        <f>[1]Items!H14</f>
        <v>6</v>
      </c>
      <c r="I28" s="16" t="str">
        <f>[1]Items!I14</f>
        <v>0</v>
      </c>
      <c r="J28" s="16" t="str">
        <f>[1]Items!J14</f>
        <v>0</v>
      </c>
      <c r="K28" s="16" t="str">
        <f>[1]Items!K14</f>
        <v>0</v>
      </c>
      <c r="L28" s="16" t="str">
        <f>[1]Items!L14</f>
        <v>0</v>
      </c>
      <c r="M28" s="16" t="str">
        <f>[1]Items!M14</f>
        <v>0</v>
      </c>
      <c r="N28" s="16" t="str">
        <f>[1]Items!N14</f>
        <v>1</v>
      </c>
      <c r="O28" s="16" t="str">
        <f>[1]Items!O14</f>
        <v>0</v>
      </c>
      <c r="P28" s="16" t="str">
        <f>[1]Items!P14</f>
        <v>false</v>
      </c>
      <c r="Q28" s="16">
        <f>[1]Items!Q14</f>
        <v>0</v>
      </c>
      <c r="R28" s="16">
        <f>[1]Items!R14</f>
        <v>0</v>
      </c>
      <c r="S28" s="16">
        <f>[1]Items!S14</f>
        <v>0</v>
      </c>
      <c r="W28">
        <f>IF('Dota 2'!$C$6, (Items!C28+Items!E28)*Items!$X$2, (Items!C28+Items!D28)*Items!$X$2)</f>
        <v>0</v>
      </c>
      <c r="X28">
        <f t="shared" si="0"/>
        <v>0</v>
      </c>
      <c r="Y28">
        <f t="shared" si="1"/>
        <v>0</v>
      </c>
      <c r="Z28">
        <f t="shared" si="2"/>
        <v>9.5389507154217767</v>
      </c>
      <c r="AA28">
        <f t="shared" si="3"/>
        <v>0</v>
      </c>
      <c r="AB28">
        <f>('Dota 2'!$H$10/$Z$4) * (1-($Y$9*($AA$2+J28))/($Y$7+$Y$9*ABS($AA$2+J28)) - $Z$4)</f>
        <v>0</v>
      </c>
      <c r="AC28">
        <f>IF('Dota 2'!$C$6, K28*M28*(1-$Z$3)*'Dota 2'!$H$8, K28*L28*(1-$Z$3)*'Dota 2'!$H$8)</f>
        <v>0</v>
      </c>
      <c r="AD28">
        <f>N28*O28*'Dota 2'!$H$10</f>
        <v>0</v>
      </c>
      <c r="AE28" s="2">
        <f t="shared" si="4"/>
        <v>9.5389507154217767</v>
      </c>
      <c r="AF28" s="17">
        <f t="shared" si="5"/>
        <v>2.1197668256492837E-2</v>
      </c>
    </row>
    <row r="29" spans="1:32" x14ac:dyDescent="0.25">
      <c r="A29" s="6" t="str">
        <f>[1]Items!$A15</f>
        <v>Iron Branch</v>
      </c>
      <c r="B29" s="16" t="str">
        <f>[1]Items!B15</f>
        <v>50</v>
      </c>
      <c r="C29" s="16" t="str">
        <f>[1]Items!C15</f>
        <v>0</v>
      </c>
      <c r="D29" s="16" t="str">
        <f>[1]Items!D15</f>
        <v>0</v>
      </c>
      <c r="E29" s="16" t="str">
        <f>[1]Items!E15</f>
        <v>0</v>
      </c>
      <c r="F29" s="16" t="str">
        <f>[1]Items!F15</f>
        <v>0</v>
      </c>
      <c r="G29" s="16" t="str">
        <f>[1]Items!G15</f>
        <v>1</v>
      </c>
      <c r="H29" s="16" t="str">
        <f>[1]Items!H15</f>
        <v>1</v>
      </c>
      <c r="I29" s="16" t="str">
        <f>[1]Items!I15</f>
        <v>1</v>
      </c>
      <c r="J29" s="16" t="str">
        <f>[1]Items!J15</f>
        <v>0</v>
      </c>
      <c r="K29" s="16" t="str">
        <f>[1]Items!K15</f>
        <v>0</v>
      </c>
      <c r="L29" s="16" t="str">
        <f>[1]Items!L15</f>
        <v>0</v>
      </c>
      <c r="M29" s="16" t="str">
        <f>[1]Items!M15</f>
        <v>0</v>
      </c>
      <c r="N29" s="16" t="str">
        <f>[1]Items!N15</f>
        <v>1</v>
      </c>
      <c r="O29" s="16" t="str">
        <f>[1]Items!O15</f>
        <v>0</v>
      </c>
      <c r="P29" s="16" t="str">
        <f>[1]Items!P15</f>
        <v>false</v>
      </c>
      <c r="Q29" s="16">
        <f>[1]Items!Q15</f>
        <v>0</v>
      </c>
      <c r="R29" s="16">
        <f>[1]Items!R15</f>
        <v>0</v>
      </c>
      <c r="S29" s="16">
        <f>[1]Items!S15</f>
        <v>0</v>
      </c>
      <c r="W29">
        <f>IF('Dota 2'!$C$6, (Items!C29+Items!E29)*Items!$X$2, (Items!C29+Items!D29)*Items!$X$2)</f>
        <v>0</v>
      </c>
      <c r="X29">
        <f t="shared" si="0"/>
        <v>0</v>
      </c>
      <c r="Y29">
        <f t="shared" si="1"/>
        <v>0</v>
      </c>
      <c r="Z29">
        <f t="shared" si="2"/>
        <v>1.5898251192369628</v>
      </c>
      <c r="AA29">
        <f t="shared" si="3"/>
        <v>0</v>
      </c>
      <c r="AB29">
        <f>('Dota 2'!$H$10/$Z$4) * (1-($Y$9*($AA$2+J29))/($Y$7+$Y$9*ABS($AA$2+J29)) - $Z$4)</f>
        <v>0</v>
      </c>
      <c r="AC29">
        <f>IF('Dota 2'!$C$6, K29*M29*(1-$Z$3)*'Dota 2'!$H$8, K29*L29*(1-$Z$3)*'Dota 2'!$H$8)</f>
        <v>0</v>
      </c>
      <c r="AD29">
        <f>N29*O29*'Dota 2'!$H$10</f>
        <v>0</v>
      </c>
      <c r="AE29" s="2">
        <f t="shared" si="4"/>
        <v>1.5898251192369628</v>
      </c>
      <c r="AF29" s="17">
        <f t="shared" si="5"/>
        <v>3.1796502384739259E-2</v>
      </c>
    </row>
    <row r="30" spans="1:32" x14ac:dyDescent="0.25">
      <c r="A30" s="6" t="str">
        <f>[1]Items!$A16</f>
        <v>Broadsword</v>
      </c>
      <c r="B30" s="16" t="str">
        <f>[1]Items!B16</f>
        <v>1000</v>
      </c>
      <c r="C30" s="16" t="str">
        <f>[1]Items!C16</f>
        <v>15</v>
      </c>
      <c r="D30" s="16" t="str">
        <f>[1]Items!D16</f>
        <v>0</v>
      </c>
      <c r="E30" s="16" t="str">
        <f>[1]Items!E16</f>
        <v>0</v>
      </c>
      <c r="F30" s="16" t="str">
        <f>[1]Items!F16</f>
        <v>0</v>
      </c>
      <c r="G30" s="16" t="str">
        <f>[1]Items!G16</f>
        <v>0</v>
      </c>
      <c r="H30" s="16" t="str">
        <f>[1]Items!H16</f>
        <v>0</v>
      </c>
      <c r="I30" s="16" t="str">
        <f>[1]Items!I16</f>
        <v>0</v>
      </c>
      <c r="J30" s="16" t="str">
        <f>[1]Items!J16</f>
        <v>0</v>
      </c>
      <c r="K30" s="16" t="str">
        <f>[1]Items!K16</f>
        <v>0</v>
      </c>
      <c r="L30" s="16" t="str">
        <f>[1]Items!L16</f>
        <v>0</v>
      </c>
      <c r="M30" s="16" t="str">
        <f>[1]Items!M16</f>
        <v>0</v>
      </c>
      <c r="N30" s="16" t="str">
        <f>[1]Items!N16</f>
        <v>1</v>
      </c>
      <c r="O30" s="16" t="str">
        <f>[1]Items!O16</f>
        <v>0</v>
      </c>
      <c r="P30" s="16" t="str">
        <f>[1]Items!P16</f>
        <v>false</v>
      </c>
      <c r="Q30" s="16">
        <f>[1]Items!Q16</f>
        <v>0</v>
      </c>
      <c r="R30" s="16">
        <f>[1]Items!R16</f>
        <v>0</v>
      </c>
      <c r="S30" s="16">
        <f>[1]Items!S16</f>
        <v>0</v>
      </c>
      <c r="W30">
        <f>IF('Dota 2'!$C$6, (Items!C30+Items!E30)*Items!$X$2, (Items!C30+Items!D30)*Items!$X$2)</f>
        <v>11.923688394277008</v>
      </c>
      <c r="X30">
        <f t="shared" si="0"/>
        <v>0</v>
      </c>
      <c r="Y30">
        <f t="shared" si="1"/>
        <v>0</v>
      </c>
      <c r="Z30">
        <f t="shared" si="2"/>
        <v>0</v>
      </c>
      <c r="AA30">
        <f t="shared" si="3"/>
        <v>0</v>
      </c>
      <c r="AB30">
        <f>('Dota 2'!$H$10/$Z$4) * (1-($Y$9*($AA$2+J30))/($Y$7+$Y$9*ABS($AA$2+J30)) - $Z$4)</f>
        <v>0</v>
      </c>
      <c r="AC30">
        <f>IF('Dota 2'!$C$6, K30*M30*(1-$Z$3)*'Dota 2'!$H$8, K30*L30*(1-$Z$3)*'Dota 2'!$H$8)</f>
        <v>0</v>
      </c>
      <c r="AD30">
        <f>N30*O30*'Dota 2'!$H$10</f>
        <v>0</v>
      </c>
      <c r="AE30" s="2">
        <f t="shared" si="4"/>
        <v>11.923688394277008</v>
      </c>
      <c r="AF30" s="17">
        <f t="shared" si="5"/>
        <v>1.1923688394277009E-2</v>
      </c>
    </row>
    <row r="31" spans="1:32" x14ac:dyDescent="0.25">
      <c r="A31" s="6" t="str">
        <f>[1]Items!$A17</f>
        <v>Butterfly</v>
      </c>
      <c r="B31" s="16" t="str">
        <f>[1]Items!B17</f>
        <v>4975</v>
      </c>
      <c r="C31" s="16" t="str">
        <f>[1]Items!C17</f>
        <v>25</v>
      </c>
      <c r="D31" s="16" t="str">
        <f>[1]Items!D17</f>
        <v>0</v>
      </c>
      <c r="E31" s="16" t="str">
        <f>[1]Items!E17</f>
        <v>0</v>
      </c>
      <c r="F31" s="16" t="str">
        <f>[1]Items!F17</f>
        <v>30</v>
      </c>
      <c r="G31" s="16" t="str">
        <f>[1]Items!G17</f>
        <v>0</v>
      </c>
      <c r="H31" s="16" t="str">
        <f>[1]Items!H17</f>
        <v>35</v>
      </c>
      <c r="I31" s="16" t="str">
        <f>[1]Items!I17</f>
        <v>0</v>
      </c>
      <c r="J31" s="16" t="str">
        <f>[1]Items!J17</f>
        <v>0</v>
      </c>
      <c r="K31" s="16" t="str">
        <f>[1]Items!K17</f>
        <v>0</v>
      </c>
      <c r="L31" s="16" t="str">
        <f>[1]Items!L17</f>
        <v>0</v>
      </c>
      <c r="M31" s="16" t="str">
        <f>[1]Items!M17</f>
        <v>0</v>
      </c>
      <c r="N31" s="16" t="str">
        <f>[1]Items!N17</f>
        <v>1</v>
      </c>
      <c r="O31" s="16" t="str">
        <f>[1]Items!O17</f>
        <v>0</v>
      </c>
      <c r="P31" s="16" t="str">
        <f>[1]Items!P17</f>
        <v>false</v>
      </c>
      <c r="Q31" s="16">
        <f>[1]Items!Q17</f>
        <v>0</v>
      </c>
      <c r="R31" s="16">
        <f>[1]Items!R17</f>
        <v>0</v>
      </c>
      <c r="S31" s="16">
        <f>[1]Items!S17</f>
        <v>0</v>
      </c>
      <c r="W31">
        <f>IF('Dota 2'!$C$6, (Items!C31+Items!E31)*Items!$X$2, (Items!C31+Items!D31)*Items!$X$2)</f>
        <v>19.87281399046168</v>
      </c>
      <c r="X31">
        <f t="shared" si="0"/>
        <v>23.847376788554868</v>
      </c>
      <c r="Y31">
        <f t="shared" si="1"/>
        <v>0</v>
      </c>
      <c r="Z31">
        <f t="shared" si="2"/>
        <v>55.643879173293698</v>
      </c>
      <c r="AA31">
        <f t="shared" si="3"/>
        <v>0</v>
      </c>
      <c r="AB31">
        <f>('Dota 2'!$H$10/$Z$4) * (1-($Y$9*($AA$2+J31))/($Y$7+$Y$9*ABS($AA$2+J31)) - $Z$4)</f>
        <v>0</v>
      </c>
      <c r="AC31">
        <f>IF('Dota 2'!$C$6, K31*M31*(1-$Z$3)*'Dota 2'!$H$8, K31*L31*(1-$Z$3)*'Dota 2'!$H$8)</f>
        <v>0</v>
      </c>
      <c r="AD31">
        <f>N31*O31*'Dota 2'!$H$10</f>
        <v>0</v>
      </c>
      <c r="AE31" s="2">
        <f t="shared" si="4"/>
        <v>99.364069952310246</v>
      </c>
      <c r="AF31" s="17">
        <f t="shared" si="5"/>
        <v>1.9972677377348792E-2</v>
      </c>
    </row>
    <row r="32" spans="1:32" x14ac:dyDescent="0.25">
      <c r="A32" s="6" t="str">
        <f>[1]Items!$A18</f>
        <v>Circlet</v>
      </c>
      <c r="B32" s="16" t="str">
        <f>[1]Items!B18</f>
        <v>155</v>
      </c>
      <c r="C32" s="16" t="str">
        <f>[1]Items!C18</f>
        <v>0</v>
      </c>
      <c r="D32" s="16" t="str">
        <f>[1]Items!D18</f>
        <v>0</v>
      </c>
      <c r="E32" s="16" t="str">
        <f>[1]Items!E18</f>
        <v>0</v>
      </c>
      <c r="F32" s="16" t="str">
        <f>[1]Items!F18</f>
        <v>0</v>
      </c>
      <c r="G32" s="16" t="str">
        <f>[1]Items!G18</f>
        <v>2</v>
      </c>
      <c r="H32" s="16" t="str">
        <f>[1]Items!H18</f>
        <v>2</v>
      </c>
      <c r="I32" s="16" t="str">
        <f>[1]Items!I18</f>
        <v>2</v>
      </c>
      <c r="J32" s="16" t="str">
        <f>[1]Items!J18</f>
        <v>0</v>
      </c>
      <c r="K32" s="16" t="str">
        <f>[1]Items!K18</f>
        <v>0</v>
      </c>
      <c r="L32" s="16" t="str">
        <f>[1]Items!L18</f>
        <v>0</v>
      </c>
      <c r="M32" s="16" t="str">
        <f>[1]Items!M18</f>
        <v>0</v>
      </c>
      <c r="N32" s="16" t="str">
        <f>[1]Items!N18</f>
        <v>1</v>
      </c>
      <c r="O32" s="16" t="str">
        <f>[1]Items!O18</f>
        <v>0</v>
      </c>
      <c r="P32" s="16" t="str">
        <f>[1]Items!P18</f>
        <v>false</v>
      </c>
      <c r="Q32" s="16">
        <f>[1]Items!Q18</f>
        <v>0</v>
      </c>
      <c r="R32" s="16">
        <f>[1]Items!R18</f>
        <v>0</v>
      </c>
      <c r="S32" s="16">
        <f>[1]Items!S18</f>
        <v>0</v>
      </c>
      <c r="W32">
        <f>IF('Dota 2'!$C$6, (Items!C32+Items!E32)*Items!$X$2, (Items!C32+Items!D32)*Items!$X$2)</f>
        <v>0</v>
      </c>
      <c r="X32">
        <f t="shared" si="0"/>
        <v>0</v>
      </c>
      <c r="Y32">
        <f t="shared" si="1"/>
        <v>0</v>
      </c>
      <c r="Z32">
        <f t="shared" si="2"/>
        <v>3.1796502384739256</v>
      </c>
      <c r="AA32">
        <f t="shared" si="3"/>
        <v>0</v>
      </c>
      <c r="AB32">
        <f>('Dota 2'!$H$10/$Z$4) * (1-($Y$9*($AA$2+J32))/($Y$7+$Y$9*ABS($AA$2+J32)) - $Z$4)</f>
        <v>0</v>
      </c>
      <c r="AC32">
        <f>IF('Dota 2'!$C$6, K32*M32*(1-$Z$3)*'Dota 2'!$H$8, K32*L32*(1-$Z$3)*'Dota 2'!$H$8)</f>
        <v>0</v>
      </c>
      <c r="AD32">
        <f>N32*O32*'Dota 2'!$H$10</f>
        <v>0</v>
      </c>
      <c r="AE32" s="2">
        <f t="shared" si="4"/>
        <v>3.1796502384739256</v>
      </c>
      <c r="AF32" s="17">
        <f t="shared" si="5"/>
        <v>2.0513872506283389E-2</v>
      </c>
    </row>
    <row r="33" spans="1:32" x14ac:dyDescent="0.25">
      <c r="A33" s="6" t="str">
        <f>[1]Items!$A19</f>
        <v>Claymore</v>
      </c>
      <c r="B33" s="16" t="str">
        <f>[1]Items!B19</f>
        <v>1350</v>
      </c>
      <c r="C33" s="16" t="str">
        <f>[1]Items!C19</f>
        <v>20</v>
      </c>
      <c r="D33" s="16" t="str">
        <f>[1]Items!D19</f>
        <v>0</v>
      </c>
      <c r="E33" s="16" t="str">
        <f>[1]Items!E19</f>
        <v>0</v>
      </c>
      <c r="F33" s="16" t="str">
        <f>[1]Items!F19</f>
        <v>0</v>
      </c>
      <c r="G33" s="16" t="str">
        <f>[1]Items!G19</f>
        <v>0</v>
      </c>
      <c r="H33" s="16" t="str">
        <f>[1]Items!H19</f>
        <v>0</v>
      </c>
      <c r="I33" s="16" t="str">
        <f>[1]Items!I19</f>
        <v>0</v>
      </c>
      <c r="J33" s="16" t="str">
        <f>[1]Items!J19</f>
        <v>0</v>
      </c>
      <c r="K33" s="16" t="str">
        <f>[1]Items!K19</f>
        <v>0</v>
      </c>
      <c r="L33" s="16" t="str">
        <f>[1]Items!L19</f>
        <v>0</v>
      </c>
      <c r="M33" s="16" t="str">
        <f>[1]Items!M19</f>
        <v>0</v>
      </c>
      <c r="N33" s="16" t="str">
        <f>[1]Items!N19</f>
        <v>1</v>
      </c>
      <c r="O33" s="16" t="str">
        <f>[1]Items!O19</f>
        <v>0</v>
      </c>
      <c r="P33" s="16" t="str">
        <f>[1]Items!P19</f>
        <v>false</v>
      </c>
      <c r="Q33" s="16">
        <f>[1]Items!Q19</f>
        <v>0</v>
      </c>
      <c r="R33" s="16">
        <f>[1]Items!R19</f>
        <v>0</v>
      </c>
      <c r="S33" s="16">
        <f>[1]Items!S19</f>
        <v>0</v>
      </c>
      <c r="W33">
        <f>IF('Dota 2'!$C$6, (Items!C33+Items!E33)*Items!$X$2, (Items!C33+Items!D33)*Items!$X$2)</f>
        <v>15.898251192369344</v>
      </c>
      <c r="X33">
        <f t="shared" si="0"/>
        <v>0</v>
      </c>
      <c r="Y33">
        <f t="shared" si="1"/>
        <v>0</v>
      </c>
      <c r="Z33">
        <f t="shared" si="2"/>
        <v>0</v>
      </c>
      <c r="AA33">
        <f t="shared" si="3"/>
        <v>0</v>
      </c>
      <c r="AB33">
        <f>('Dota 2'!$H$10/$Z$4) * (1-($Y$9*($AA$2+J33))/($Y$7+$Y$9*ABS($AA$2+J33)) - $Z$4)</f>
        <v>0</v>
      </c>
      <c r="AC33">
        <f>IF('Dota 2'!$C$6, K33*M33*(1-$Z$3)*'Dota 2'!$H$8, K33*L33*(1-$Z$3)*'Dota 2'!$H$8)</f>
        <v>0</v>
      </c>
      <c r="AD33">
        <f>N33*O33*'Dota 2'!$H$10</f>
        <v>0</v>
      </c>
      <c r="AE33" s="2">
        <f t="shared" si="4"/>
        <v>15.898251192369344</v>
      </c>
      <c r="AF33" s="17">
        <f t="shared" si="5"/>
        <v>1.1776482364718033E-2</v>
      </c>
    </row>
    <row r="34" spans="1:32" x14ac:dyDescent="0.25">
      <c r="A34" s="6" t="str">
        <f>[1]Items!$A20</f>
        <v>Crown</v>
      </c>
      <c r="B34" s="16" t="str">
        <f>[1]Items!B20</f>
        <v>450</v>
      </c>
      <c r="C34" s="16" t="str">
        <f>[1]Items!C20</f>
        <v>0</v>
      </c>
      <c r="D34" s="16" t="str">
        <f>[1]Items!D20</f>
        <v>0</v>
      </c>
      <c r="E34" s="16" t="str">
        <f>[1]Items!E20</f>
        <v>0</v>
      </c>
      <c r="F34" s="16" t="str">
        <f>[1]Items!F20</f>
        <v>0</v>
      </c>
      <c r="G34" s="16" t="str">
        <f>[1]Items!G20</f>
        <v>4</v>
      </c>
      <c r="H34" s="16" t="str">
        <f>[1]Items!H20</f>
        <v>4</v>
      </c>
      <c r="I34" s="16" t="str">
        <f>[1]Items!I20</f>
        <v>4</v>
      </c>
      <c r="J34" s="16" t="str">
        <f>[1]Items!J20</f>
        <v>0</v>
      </c>
      <c r="K34" s="16" t="str">
        <f>[1]Items!K20</f>
        <v>0</v>
      </c>
      <c r="L34" s="16" t="str">
        <f>[1]Items!L20</f>
        <v>0</v>
      </c>
      <c r="M34" s="16" t="str">
        <f>[1]Items!M20</f>
        <v>0</v>
      </c>
      <c r="N34" s="16" t="str">
        <f>[1]Items!N20</f>
        <v>1</v>
      </c>
      <c r="O34" s="16" t="str">
        <f>[1]Items!O20</f>
        <v>0</v>
      </c>
      <c r="P34" s="16" t="str">
        <f>[1]Items!P20</f>
        <v>false</v>
      </c>
      <c r="Q34" s="16">
        <f>[1]Items!Q20</f>
        <v>0</v>
      </c>
      <c r="R34" s="16">
        <f>[1]Items!R20</f>
        <v>0</v>
      </c>
      <c r="S34" s="16">
        <f>[1]Items!S20</f>
        <v>0</v>
      </c>
      <c r="W34">
        <f>IF('Dota 2'!$C$6, (Items!C34+Items!E34)*Items!$X$2, (Items!C34+Items!D34)*Items!$X$2)</f>
        <v>0</v>
      </c>
      <c r="X34">
        <f t="shared" si="0"/>
        <v>0</v>
      </c>
      <c r="Y34">
        <f t="shared" si="1"/>
        <v>0</v>
      </c>
      <c r="Z34">
        <f t="shared" si="2"/>
        <v>6.3593004769478512</v>
      </c>
      <c r="AA34">
        <f t="shared" si="3"/>
        <v>0</v>
      </c>
      <c r="AB34">
        <f>('Dota 2'!$H$10/$Z$4) * (1-($Y$9*($AA$2+J34))/($Y$7+$Y$9*ABS($AA$2+J34)) - $Z$4)</f>
        <v>0</v>
      </c>
      <c r="AC34">
        <f>IF('Dota 2'!$C$6, K34*M34*(1-$Z$3)*'Dota 2'!$H$8, K34*L34*(1-$Z$3)*'Dota 2'!$H$8)</f>
        <v>0</v>
      </c>
      <c r="AD34">
        <f>N34*O34*'Dota 2'!$H$10</f>
        <v>0</v>
      </c>
      <c r="AE34" s="2">
        <f t="shared" si="4"/>
        <v>6.3593004769478512</v>
      </c>
      <c r="AF34" s="17">
        <f t="shared" si="5"/>
        <v>1.4131778837661892E-2</v>
      </c>
    </row>
    <row r="35" spans="1:32" x14ac:dyDescent="0.25">
      <c r="A35" s="6" t="str">
        <f>[1]Items!$A21</f>
        <v>Eul's Scepter of Divinity</v>
      </c>
      <c r="B35" s="16" t="str">
        <f>[1]Items!B21</f>
        <v>2725</v>
      </c>
      <c r="C35" s="16" t="str">
        <f>[1]Items!C21</f>
        <v>0</v>
      </c>
      <c r="D35" s="16" t="str">
        <f>[1]Items!D21</f>
        <v>0</v>
      </c>
      <c r="E35" s="16" t="str">
        <f>[1]Items!E21</f>
        <v>0</v>
      </c>
      <c r="F35" s="16" t="str">
        <f>[1]Items!F21</f>
        <v>0</v>
      </c>
      <c r="G35" s="16" t="str">
        <f>[1]Items!G21</f>
        <v>0</v>
      </c>
      <c r="H35" s="16" t="str">
        <f>[1]Items!H21</f>
        <v>0</v>
      </c>
      <c r="I35" s="16" t="str">
        <f>[1]Items!I21</f>
        <v>10</v>
      </c>
      <c r="J35" s="16" t="str">
        <f>[1]Items!J21</f>
        <v>0</v>
      </c>
      <c r="K35" s="16" t="str">
        <f>[1]Items!K21</f>
        <v>0</v>
      </c>
      <c r="L35" s="16" t="str">
        <f>[1]Items!L21</f>
        <v>0</v>
      </c>
      <c r="M35" s="16" t="str">
        <f>[1]Items!M21</f>
        <v>0</v>
      </c>
      <c r="N35" s="16" t="str">
        <f>[1]Items!N21</f>
        <v>1</v>
      </c>
      <c r="O35" s="16" t="str">
        <f>[1]Items!O21</f>
        <v>0</v>
      </c>
      <c r="P35" s="16" t="str">
        <f>[1]Items!P21</f>
        <v>false</v>
      </c>
      <c r="Q35" s="16">
        <f>[1]Items!Q21</f>
        <v>0</v>
      </c>
      <c r="R35" s="16">
        <f>[1]Items!R21</f>
        <v>0</v>
      </c>
      <c r="S35" s="16">
        <f>[1]Items!S21</f>
        <v>0</v>
      </c>
      <c r="W35">
        <f>IF('Dota 2'!$C$6, (Items!C35+Items!E35)*Items!$X$2, (Items!C35+Items!D35)*Items!$X$2)</f>
        <v>0</v>
      </c>
      <c r="X35">
        <f t="shared" si="0"/>
        <v>0</v>
      </c>
      <c r="Y35">
        <f t="shared" si="1"/>
        <v>0</v>
      </c>
      <c r="Z35">
        <f t="shared" si="2"/>
        <v>0</v>
      </c>
      <c r="AA35">
        <f t="shared" si="3"/>
        <v>0</v>
      </c>
      <c r="AB35">
        <f>('Dota 2'!$H$10/$Z$4) * (1-($Y$9*($AA$2+J35))/($Y$7+$Y$9*ABS($AA$2+J35)) - $Z$4)</f>
        <v>0</v>
      </c>
      <c r="AC35">
        <f>IF('Dota 2'!$C$6, K35*M35*(1-$Z$3)*'Dota 2'!$H$8, K35*L35*(1-$Z$3)*'Dota 2'!$H$8)</f>
        <v>0</v>
      </c>
      <c r="AD35">
        <f>N35*O35*'Dota 2'!$H$10</f>
        <v>0</v>
      </c>
      <c r="AE35" s="2">
        <f t="shared" si="4"/>
        <v>0</v>
      </c>
      <c r="AF35" s="17">
        <f t="shared" si="5"/>
        <v>0</v>
      </c>
    </row>
    <row r="36" spans="1:32" x14ac:dyDescent="0.25">
      <c r="A36" s="6" t="str">
        <f>[1]Items!$A22</f>
        <v>Demon Edge</v>
      </c>
      <c r="B36" s="16" t="str">
        <f>[1]Items!B22</f>
        <v>2200</v>
      </c>
      <c r="C36" s="16" t="str">
        <f>[1]Items!C22</f>
        <v>40</v>
      </c>
      <c r="D36" s="16" t="str">
        <f>[1]Items!D22</f>
        <v>0</v>
      </c>
      <c r="E36" s="16" t="str">
        <f>[1]Items!E22</f>
        <v>0</v>
      </c>
      <c r="F36" s="16" t="str">
        <f>[1]Items!F22</f>
        <v>0</v>
      </c>
      <c r="G36" s="16" t="str">
        <f>[1]Items!G22</f>
        <v>0</v>
      </c>
      <c r="H36" s="16" t="str">
        <f>[1]Items!H22</f>
        <v>0</v>
      </c>
      <c r="I36" s="16" t="str">
        <f>[1]Items!I22</f>
        <v>0</v>
      </c>
      <c r="J36" s="16" t="str">
        <f>[1]Items!J22</f>
        <v>0</v>
      </c>
      <c r="K36" s="16" t="str">
        <f>[1]Items!K22</f>
        <v>0</v>
      </c>
      <c r="L36" s="16" t="str">
        <f>[1]Items!L22</f>
        <v>0</v>
      </c>
      <c r="M36" s="16" t="str">
        <f>[1]Items!M22</f>
        <v>0</v>
      </c>
      <c r="N36" s="16" t="str">
        <f>[1]Items!N22</f>
        <v>1</v>
      </c>
      <c r="O36" s="16" t="str">
        <f>[1]Items!O22</f>
        <v>0</v>
      </c>
      <c r="P36" s="16" t="str">
        <f>[1]Items!P22</f>
        <v>false</v>
      </c>
      <c r="Q36" s="16">
        <f>[1]Items!Q22</f>
        <v>0</v>
      </c>
      <c r="R36" s="16">
        <f>[1]Items!R22</f>
        <v>0</v>
      </c>
      <c r="S36" s="16">
        <f>[1]Items!S22</f>
        <v>0</v>
      </c>
      <c r="W36">
        <f>IF('Dota 2'!$C$6, (Items!C36+Items!E36)*Items!$X$2, (Items!C36+Items!D36)*Items!$X$2)</f>
        <v>31.796502384738687</v>
      </c>
      <c r="X36">
        <f t="shared" si="0"/>
        <v>0</v>
      </c>
      <c r="Y36">
        <f t="shared" si="1"/>
        <v>0</v>
      </c>
      <c r="Z36">
        <f t="shared" si="2"/>
        <v>0</v>
      </c>
      <c r="AA36">
        <f t="shared" si="3"/>
        <v>0</v>
      </c>
      <c r="AB36">
        <f>('Dota 2'!$H$10/$Z$4) * (1-($Y$9*($AA$2+J36))/($Y$7+$Y$9*ABS($AA$2+J36)) - $Z$4)</f>
        <v>0</v>
      </c>
      <c r="AC36">
        <f>IF('Dota 2'!$C$6, K36*M36*(1-$Z$3)*'Dota 2'!$H$8, K36*L36*(1-$Z$3)*'Dota 2'!$H$8)</f>
        <v>0</v>
      </c>
      <c r="AD36">
        <f>N36*O36*'Dota 2'!$H$10</f>
        <v>0</v>
      </c>
      <c r="AE36" s="2">
        <f t="shared" si="4"/>
        <v>31.796502384738687</v>
      </c>
      <c r="AF36" s="17">
        <f t="shared" si="5"/>
        <v>1.4452955629426676E-2</v>
      </c>
    </row>
    <row r="37" spans="1:32" x14ac:dyDescent="0.25">
      <c r="A37" s="6" t="str">
        <f>[1]Items!$A23</f>
        <v>Book of the Dead</v>
      </c>
      <c r="B37" s="16" t="str">
        <f>[1]Items!B23</f>
        <v>0</v>
      </c>
      <c r="C37" s="16" t="str">
        <f>[1]Items!C23</f>
        <v>0</v>
      </c>
      <c r="D37" s="16" t="str">
        <f>[1]Items!D23</f>
        <v>0</v>
      </c>
      <c r="E37" s="16" t="str">
        <f>[1]Items!E23</f>
        <v>0</v>
      </c>
      <c r="F37" s="16" t="str">
        <f>[1]Items!F23</f>
        <v>0</v>
      </c>
      <c r="G37" s="16" t="str">
        <f>[1]Items!G23</f>
        <v>30</v>
      </c>
      <c r="H37" s="16" t="str">
        <f>[1]Items!H23</f>
        <v>0</v>
      </c>
      <c r="I37" s="16" t="str">
        <f>[1]Items!I23</f>
        <v>30</v>
      </c>
      <c r="J37" s="16" t="str">
        <f>[1]Items!J23</f>
        <v>0</v>
      </c>
      <c r="K37" s="16" t="str">
        <f>[1]Items!K23</f>
        <v>0</v>
      </c>
      <c r="L37" s="16" t="str">
        <f>[1]Items!L23</f>
        <v>0</v>
      </c>
      <c r="M37" s="16" t="str">
        <f>[1]Items!M23</f>
        <v>0</v>
      </c>
      <c r="N37" s="16" t="str">
        <f>[1]Items!N23</f>
        <v>1</v>
      </c>
      <c r="O37" s="16" t="str">
        <f>[1]Items!O23</f>
        <v>0</v>
      </c>
      <c r="P37" s="16" t="str">
        <f>[1]Items!P23</f>
        <v>true</v>
      </c>
      <c r="Q37" s="16">
        <f>[1]Items!Q23</f>
        <v>0</v>
      </c>
      <c r="R37" s="16">
        <f>[1]Items!R23</f>
        <v>0</v>
      </c>
      <c r="S37" s="16">
        <f>[1]Items!S23</f>
        <v>0</v>
      </c>
      <c r="W37">
        <f>IF('Dota 2'!$C$6, (Items!C37+Items!E37)*Items!$X$2, (Items!C37+Items!D37)*Items!$X$2)</f>
        <v>0</v>
      </c>
      <c r="X37">
        <f t="shared" si="0"/>
        <v>0</v>
      </c>
      <c r="Y37">
        <f t="shared" si="1"/>
        <v>0</v>
      </c>
      <c r="Z37">
        <f t="shared" si="2"/>
        <v>0</v>
      </c>
      <c r="AA37">
        <f t="shared" si="3"/>
        <v>0</v>
      </c>
      <c r="AB37">
        <f>('Dota 2'!$H$10/$Z$4) * (1-($Y$9*($AA$2+J37))/($Y$7+$Y$9*ABS($AA$2+J37)) - $Z$4)</f>
        <v>0</v>
      </c>
      <c r="AC37">
        <f>IF('Dota 2'!$C$6, K37*M37*(1-$Z$3)*'Dota 2'!$H$8, K37*L37*(1-$Z$3)*'Dota 2'!$H$8)</f>
        <v>0</v>
      </c>
      <c r="AD37">
        <f>N37*O37*'Dota 2'!$H$10</f>
        <v>0</v>
      </c>
      <c r="AE37" s="2">
        <f t="shared" si="4"/>
        <v>0</v>
      </c>
      <c r="AF37" s="17">
        <f t="shared" si="5"/>
        <v>0</v>
      </c>
    </row>
    <row r="38" spans="1:32" x14ac:dyDescent="0.25">
      <c r="A38" s="6" t="str">
        <f>[1]Items!$A24</f>
        <v>Stygian Desolator</v>
      </c>
      <c r="B38" s="16" t="str">
        <f>[1]Items!B24</f>
        <v>0</v>
      </c>
      <c r="C38" s="16" t="str">
        <f>[1]Items!C24</f>
        <v>60</v>
      </c>
      <c r="D38" s="16" t="str">
        <f>[1]Items!D24</f>
        <v>0</v>
      </c>
      <c r="E38" s="16" t="str">
        <f>[1]Items!E24</f>
        <v>0</v>
      </c>
      <c r="F38" s="16" t="str">
        <f>[1]Items!F24</f>
        <v>0</v>
      </c>
      <c r="G38" s="16" t="str">
        <f>[1]Items!G24</f>
        <v>0</v>
      </c>
      <c r="H38" s="16" t="str">
        <f>[1]Items!H24</f>
        <v>0</v>
      </c>
      <c r="I38" s="16" t="str">
        <f>[1]Items!I24</f>
        <v>0</v>
      </c>
      <c r="J38" s="16" t="str">
        <f>[1]Items!J24</f>
        <v>-10</v>
      </c>
      <c r="K38" s="16" t="str">
        <f>[1]Items!K24</f>
        <v>0</v>
      </c>
      <c r="L38" s="16" t="str">
        <f>[1]Items!L24</f>
        <v>0</v>
      </c>
      <c r="M38" s="16" t="str">
        <f>[1]Items!M24</f>
        <v>0</v>
      </c>
      <c r="N38" s="16" t="str">
        <f>[1]Items!N24</f>
        <v>1</v>
      </c>
      <c r="O38" s="16" t="str">
        <f>[1]Items!O24</f>
        <v>0</v>
      </c>
      <c r="P38" s="16" t="str">
        <f>[1]Items!P24</f>
        <v>true</v>
      </c>
      <c r="Q38" s="16">
        <f>[1]Items!Q24</f>
        <v>0</v>
      </c>
      <c r="R38" s="16">
        <f>[1]Items!R24</f>
        <v>0</v>
      </c>
      <c r="S38" s="16">
        <f>[1]Items!S24</f>
        <v>0</v>
      </c>
      <c r="W38">
        <f>IF('Dota 2'!$C$6, (Items!C38+Items!E38)*Items!$X$2, (Items!C38+Items!D38)*Items!$X$2)</f>
        <v>47.694753577108031</v>
      </c>
      <c r="X38">
        <f t="shared" si="0"/>
        <v>0</v>
      </c>
      <c r="Y38">
        <f t="shared" si="1"/>
        <v>0</v>
      </c>
      <c r="Z38">
        <f t="shared" si="2"/>
        <v>0</v>
      </c>
      <c r="AA38">
        <f t="shared" si="3"/>
        <v>0</v>
      </c>
      <c r="AB38">
        <f>('Dota 2'!$H$10/$Z$4) * (1-($Y$9*($AA$2+J38))/($Y$7+$Y$9*ABS($AA$2+J38)) - $Z$4)</f>
        <v>101.52168975698389</v>
      </c>
      <c r="AC38">
        <f>IF('Dota 2'!$C$6, K38*M38*(1-$Z$3)*'Dota 2'!$H$8, K38*L38*(1-$Z$3)*'Dota 2'!$H$8)</f>
        <v>0</v>
      </c>
      <c r="AD38">
        <f>N38*O38*'Dota 2'!$H$10</f>
        <v>0</v>
      </c>
      <c r="AE38" s="2">
        <f t="shared" si="4"/>
        <v>149.21644333409193</v>
      </c>
      <c r="AF38" s="17">
        <f t="shared" si="5"/>
        <v>0</v>
      </c>
    </row>
    <row r="39" spans="1:32" x14ac:dyDescent="0.25">
      <c r="A39" s="6" t="str">
        <f>[1]Items!$A25</f>
        <v>Dragon Lance</v>
      </c>
      <c r="B39" s="16" t="str">
        <f>[1]Items!B25</f>
        <v>1900</v>
      </c>
      <c r="C39" s="16" t="str">
        <f>[1]Items!C25</f>
        <v>0</v>
      </c>
      <c r="D39" s="16" t="str">
        <f>[1]Items!D25</f>
        <v>0</v>
      </c>
      <c r="E39" s="16" t="str">
        <f>[1]Items!E25</f>
        <v>0</v>
      </c>
      <c r="F39" s="16" t="str">
        <f>[1]Items!F25</f>
        <v>0</v>
      </c>
      <c r="G39" s="16" t="str">
        <f>[1]Items!G25</f>
        <v>12</v>
      </c>
      <c r="H39" s="16" t="str">
        <f>[1]Items!H25</f>
        <v>16</v>
      </c>
      <c r="I39" s="16" t="str">
        <f>[1]Items!I25</f>
        <v>0</v>
      </c>
      <c r="J39" s="16" t="str">
        <f>[1]Items!J25</f>
        <v>0</v>
      </c>
      <c r="K39" s="16" t="str">
        <f>[1]Items!K25</f>
        <v>0</v>
      </c>
      <c r="L39" s="16" t="str">
        <f>[1]Items!L25</f>
        <v>0</v>
      </c>
      <c r="M39" s="16" t="str">
        <f>[1]Items!M25</f>
        <v>0</v>
      </c>
      <c r="N39" s="16" t="str">
        <f>[1]Items!N25</f>
        <v>1</v>
      </c>
      <c r="O39" s="16" t="str">
        <f>[1]Items!O25</f>
        <v>0</v>
      </c>
      <c r="P39" s="16" t="str">
        <f>[1]Items!P25</f>
        <v>false</v>
      </c>
      <c r="Q39" s="16">
        <f>[1]Items!Q25</f>
        <v>0</v>
      </c>
      <c r="R39" s="16">
        <f>[1]Items!R25</f>
        <v>0</v>
      </c>
      <c r="S39" s="16">
        <f>[1]Items!S25</f>
        <v>0</v>
      </c>
      <c r="W39">
        <f>IF('Dota 2'!$C$6, (Items!C39+Items!E39)*Items!$X$2, (Items!C39+Items!D39)*Items!$X$2)</f>
        <v>0</v>
      </c>
      <c r="X39">
        <f t="shared" si="0"/>
        <v>0</v>
      </c>
      <c r="Y39">
        <f t="shared" si="1"/>
        <v>0</v>
      </c>
      <c r="Z39">
        <f t="shared" si="2"/>
        <v>25.437201907791405</v>
      </c>
      <c r="AA39">
        <f t="shared" si="3"/>
        <v>0</v>
      </c>
      <c r="AB39">
        <f>('Dota 2'!$H$10/$Z$4) * (1-($Y$9*($AA$2+J39))/($Y$7+$Y$9*ABS($AA$2+J39)) - $Z$4)</f>
        <v>0</v>
      </c>
      <c r="AC39">
        <f>IF('Dota 2'!$C$6, K39*M39*(1-$Z$3)*'Dota 2'!$H$8, K39*L39*(1-$Z$3)*'Dota 2'!$H$8)</f>
        <v>0</v>
      </c>
      <c r="AD39">
        <f>N39*O39*'Dota 2'!$H$10</f>
        <v>0</v>
      </c>
      <c r="AE39" s="2">
        <f t="shared" si="4"/>
        <v>25.437201907791405</v>
      </c>
      <c r="AF39" s="17">
        <f t="shared" si="5"/>
        <v>1.3388001004100739E-2</v>
      </c>
    </row>
    <row r="40" spans="1:32" x14ac:dyDescent="0.25">
      <c r="A40" s="6" t="str">
        <f>[1]Items!$A26</f>
        <v>Eaglesong</v>
      </c>
      <c r="B40" s="16" t="str">
        <f>[1]Items!B26</f>
        <v>2800</v>
      </c>
      <c r="C40" s="16" t="str">
        <f>[1]Items!C26</f>
        <v>0</v>
      </c>
      <c r="D40" s="16" t="str">
        <f>[1]Items!D26</f>
        <v>0</v>
      </c>
      <c r="E40" s="16" t="str">
        <f>[1]Items!E26</f>
        <v>0</v>
      </c>
      <c r="F40" s="16" t="str">
        <f>[1]Items!F26</f>
        <v>0</v>
      </c>
      <c r="G40" s="16" t="str">
        <f>[1]Items!G26</f>
        <v>0</v>
      </c>
      <c r="H40" s="16" t="str">
        <f>[1]Items!H26</f>
        <v>25</v>
      </c>
      <c r="I40" s="16" t="str">
        <f>[1]Items!I26</f>
        <v>0</v>
      </c>
      <c r="J40" s="16" t="str">
        <f>[1]Items!J26</f>
        <v>0</v>
      </c>
      <c r="K40" s="16" t="str">
        <f>[1]Items!K26</f>
        <v>0</v>
      </c>
      <c r="L40" s="16" t="str">
        <f>[1]Items!L26</f>
        <v>0</v>
      </c>
      <c r="M40" s="16" t="str">
        <f>[1]Items!M26</f>
        <v>0</v>
      </c>
      <c r="N40" s="16" t="str">
        <f>[1]Items!N26</f>
        <v>1</v>
      </c>
      <c r="O40" s="16" t="str">
        <f>[1]Items!O26</f>
        <v>0</v>
      </c>
      <c r="P40" s="16" t="str">
        <f>[1]Items!P26</f>
        <v>false</v>
      </c>
      <c r="Q40" s="16">
        <f>[1]Items!Q26</f>
        <v>0</v>
      </c>
      <c r="R40" s="16">
        <f>[1]Items!R26</f>
        <v>0</v>
      </c>
      <c r="S40" s="16">
        <f>[1]Items!S26</f>
        <v>0</v>
      </c>
      <c r="W40">
        <f>IF('Dota 2'!$C$6, (Items!C40+Items!E40)*Items!$X$2, (Items!C40+Items!D40)*Items!$X$2)</f>
        <v>0</v>
      </c>
      <c r="X40">
        <f t="shared" si="0"/>
        <v>0</v>
      </c>
      <c r="Y40">
        <f t="shared" si="1"/>
        <v>0</v>
      </c>
      <c r="Z40">
        <f t="shared" si="2"/>
        <v>39.74562798092407</v>
      </c>
      <c r="AA40">
        <f t="shared" si="3"/>
        <v>0</v>
      </c>
      <c r="AB40">
        <f>('Dota 2'!$H$10/$Z$4) * (1-($Y$9*($AA$2+J40))/($Y$7+$Y$9*ABS($AA$2+J40)) - $Z$4)</f>
        <v>0</v>
      </c>
      <c r="AC40">
        <f>IF('Dota 2'!$C$6, K40*M40*(1-$Z$3)*'Dota 2'!$H$8, K40*L40*(1-$Z$3)*'Dota 2'!$H$8)</f>
        <v>0</v>
      </c>
      <c r="AD40">
        <f>N40*O40*'Dota 2'!$H$10</f>
        <v>0</v>
      </c>
      <c r="AE40" s="2">
        <f t="shared" si="4"/>
        <v>39.74562798092407</v>
      </c>
      <c r="AF40" s="17">
        <f t="shared" si="5"/>
        <v>1.4194867136044311E-2</v>
      </c>
    </row>
    <row r="41" spans="1:32" x14ac:dyDescent="0.25">
      <c r="A41" s="6" t="str">
        <f>[1]Items!$A27</f>
        <v>Echo Sabre</v>
      </c>
      <c r="B41" s="16" t="str">
        <f>[1]Items!B27</f>
        <v>2500</v>
      </c>
      <c r="C41" s="16" t="str">
        <f>[1]Items!C27</f>
        <v>15</v>
      </c>
      <c r="D41" s="16" t="str">
        <f>[1]Items!D27</f>
        <v>0</v>
      </c>
      <c r="E41" s="16" t="str">
        <f>[1]Items!E27</f>
        <v>0</v>
      </c>
      <c r="F41" s="16" t="str">
        <f>[1]Items!F27</f>
        <v>10</v>
      </c>
      <c r="G41" s="16" t="str">
        <f>[1]Items!G27</f>
        <v>13</v>
      </c>
      <c r="H41" s="16" t="str">
        <f>[1]Items!H27</f>
        <v>0</v>
      </c>
      <c r="I41" s="16" t="str">
        <f>[1]Items!I27</f>
        <v>10</v>
      </c>
      <c r="J41" s="16" t="str">
        <f>[1]Items!J27</f>
        <v>0</v>
      </c>
      <c r="K41" s="16" t="str">
        <f>[1]Items!K27</f>
        <v>0</v>
      </c>
      <c r="L41" s="16" t="str">
        <f>[1]Items!L27</f>
        <v>0</v>
      </c>
      <c r="M41" s="16" t="str">
        <f>[1]Items!M27</f>
        <v>0</v>
      </c>
      <c r="N41" s="16" t="str">
        <f>[1]Items!N27</f>
        <v>1</v>
      </c>
      <c r="O41" s="16" t="str">
        <f>[1]Items!O27</f>
        <v>0</v>
      </c>
      <c r="P41" s="16" t="str">
        <f>[1]Items!P27</f>
        <v>false</v>
      </c>
      <c r="Q41" s="16">
        <f>[1]Items!Q27</f>
        <v>0</v>
      </c>
      <c r="R41" s="16">
        <f>[1]Items!R27</f>
        <v>0</v>
      </c>
      <c r="S41" s="16">
        <f>[1]Items!S27</f>
        <v>0</v>
      </c>
      <c r="W41">
        <f>IF('Dota 2'!$C$6, (Items!C41+Items!E41)*Items!$X$2, (Items!C41+Items!D41)*Items!$X$2)</f>
        <v>11.923688394277008</v>
      </c>
      <c r="X41">
        <f t="shared" si="0"/>
        <v>7.9491255961849561</v>
      </c>
      <c r="Y41">
        <f t="shared" si="1"/>
        <v>0</v>
      </c>
      <c r="Z41">
        <f t="shared" si="2"/>
        <v>0</v>
      </c>
      <c r="AA41">
        <f t="shared" si="3"/>
        <v>0</v>
      </c>
      <c r="AB41">
        <f>('Dota 2'!$H$10/$Z$4) * (1-($Y$9*($AA$2+J41))/($Y$7+$Y$9*ABS($AA$2+J41)) - $Z$4)</f>
        <v>0</v>
      </c>
      <c r="AC41">
        <f>IF('Dota 2'!$C$6, K41*M41*(1-$Z$3)*'Dota 2'!$H$8, K41*L41*(1-$Z$3)*'Dota 2'!$H$8)</f>
        <v>0</v>
      </c>
      <c r="AD41">
        <f>N41*O41*'Dota 2'!$H$10</f>
        <v>0</v>
      </c>
      <c r="AE41" s="2">
        <f t="shared" si="4"/>
        <v>19.872813990461964</v>
      </c>
      <c r="AF41" s="17">
        <f t="shared" si="5"/>
        <v>7.9491255961847852E-3</v>
      </c>
    </row>
    <row r="42" spans="1:32" x14ac:dyDescent="0.25">
      <c r="A42" s="6" t="str">
        <f>[1]Items!$A28</f>
        <v>Faerie Fire</v>
      </c>
      <c r="B42" s="16" t="str">
        <f>[1]Items!B28</f>
        <v>70</v>
      </c>
      <c r="C42" s="16" t="str">
        <f>[1]Items!C28</f>
        <v>2</v>
      </c>
      <c r="D42" s="16" t="str">
        <f>[1]Items!D28</f>
        <v>0</v>
      </c>
      <c r="E42" s="16" t="str">
        <f>[1]Items!E28</f>
        <v>0</v>
      </c>
      <c r="F42" s="16" t="str">
        <f>[1]Items!F28</f>
        <v>0</v>
      </c>
      <c r="G42" s="16" t="str">
        <f>[1]Items!G28</f>
        <v>0</v>
      </c>
      <c r="H42" s="16" t="str">
        <f>[1]Items!H28</f>
        <v>0</v>
      </c>
      <c r="I42" s="16" t="str">
        <f>[1]Items!I28</f>
        <v>0</v>
      </c>
      <c r="J42" s="16" t="str">
        <f>[1]Items!J28</f>
        <v>0</v>
      </c>
      <c r="K42" s="16" t="str">
        <f>[1]Items!K28</f>
        <v>0</v>
      </c>
      <c r="L42" s="16" t="str">
        <f>[1]Items!L28</f>
        <v>0</v>
      </c>
      <c r="M42" s="16" t="str">
        <f>[1]Items!M28</f>
        <v>0</v>
      </c>
      <c r="N42" s="16" t="str">
        <f>[1]Items!N28</f>
        <v>1</v>
      </c>
      <c r="O42" s="16" t="str">
        <f>[1]Items!O28</f>
        <v>0</v>
      </c>
      <c r="P42" s="16" t="str">
        <f>[1]Items!P28</f>
        <v>false</v>
      </c>
      <c r="Q42" s="16">
        <f>[1]Items!Q28</f>
        <v>0</v>
      </c>
      <c r="R42" s="16">
        <f>[1]Items!R28</f>
        <v>0</v>
      </c>
      <c r="S42" s="16">
        <f>[1]Items!S28</f>
        <v>0</v>
      </c>
      <c r="W42">
        <f>IF('Dota 2'!$C$6, (Items!C42+Items!E42)*Items!$X$2, (Items!C42+Items!D42)*Items!$X$2)</f>
        <v>1.5898251192369344</v>
      </c>
      <c r="X42">
        <f t="shared" si="0"/>
        <v>0</v>
      </c>
      <c r="Y42">
        <f t="shared" si="1"/>
        <v>0</v>
      </c>
      <c r="Z42">
        <f t="shared" si="2"/>
        <v>0</v>
      </c>
      <c r="AA42">
        <f t="shared" si="3"/>
        <v>0</v>
      </c>
      <c r="AB42">
        <f>('Dota 2'!$H$10/$Z$4) * (1-($Y$9*($AA$2+J42))/($Y$7+$Y$9*ABS($AA$2+J42)) - $Z$4)</f>
        <v>0</v>
      </c>
      <c r="AC42">
        <f>IF('Dota 2'!$C$6, K42*M42*(1-$Z$3)*'Dota 2'!$H$8, K42*L42*(1-$Z$3)*'Dota 2'!$H$8)</f>
        <v>0</v>
      </c>
      <c r="AD42">
        <f>N42*O42*'Dota 2'!$H$10</f>
        <v>0</v>
      </c>
      <c r="AE42" s="2">
        <f t="shared" si="4"/>
        <v>1.5898251192369344</v>
      </c>
      <c r="AF42" s="17">
        <f t="shared" si="5"/>
        <v>2.2711787417670493E-2</v>
      </c>
    </row>
    <row r="43" spans="1:32" x14ac:dyDescent="0.25">
      <c r="A43" s="6" t="str">
        <f>[1]Items!$A29</f>
        <v>Gauntlets of Strength</v>
      </c>
      <c r="B43" s="16" t="str">
        <f>[1]Items!B29</f>
        <v>140</v>
      </c>
      <c r="C43" s="16" t="str">
        <f>[1]Items!C29</f>
        <v>0</v>
      </c>
      <c r="D43" s="16" t="str">
        <f>[1]Items!D29</f>
        <v>0</v>
      </c>
      <c r="E43" s="16" t="str">
        <f>[1]Items!E29</f>
        <v>0</v>
      </c>
      <c r="F43" s="16" t="str">
        <f>[1]Items!F29</f>
        <v>0</v>
      </c>
      <c r="G43" s="16" t="str">
        <f>[1]Items!G29</f>
        <v>3</v>
      </c>
      <c r="H43" s="16" t="str">
        <f>[1]Items!H29</f>
        <v>0</v>
      </c>
      <c r="I43" s="16" t="str">
        <f>[1]Items!I29</f>
        <v>0</v>
      </c>
      <c r="J43" s="16" t="str">
        <f>[1]Items!J29</f>
        <v>0</v>
      </c>
      <c r="K43" s="16" t="str">
        <f>[1]Items!K29</f>
        <v>0</v>
      </c>
      <c r="L43" s="16" t="str">
        <f>[1]Items!L29</f>
        <v>0</v>
      </c>
      <c r="M43" s="16" t="str">
        <f>[1]Items!M29</f>
        <v>0</v>
      </c>
      <c r="N43" s="16" t="str">
        <f>[1]Items!N29</f>
        <v>1</v>
      </c>
      <c r="O43" s="16" t="str">
        <f>[1]Items!O29</f>
        <v>0</v>
      </c>
      <c r="P43" s="16" t="str">
        <f>[1]Items!P29</f>
        <v>false</v>
      </c>
      <c r="Q43" s="16">
        <f>[1]Items!Q29</f>
        <v>0</v>
      </c>
      <c r="R43" s="16">
        <f>[1]Items!R29</f>
        <v>0</v>
      </c>
      <c r="S43" s="16">
        <f>[1]Items!S29</f>
        <v>0</v>
      </c>
      <c r="W43">
        <f>IF('Dota 2'!$C$6, (Items!C43+Items!E43)*Items!$X$2, (Items!C43+Items!D43)*Items!$X$2)</f>
        <v>0</v>
      </c>
      <c r="X43">
        <f t="shared" si="0"/>
        <v>0</v>
      </c>
      <c r="Y43">
        <f t="shared" si="1"/>
        <v>0</v>
      </c>
      <c r="Z43">
        <f t="shared" si="2"/>
        <v>0</v>
      </c>
      <c r="AA43">
        <f t="shared" si="3"/>
        <v>0</v>
      </c>
      <c r="AB43">
        <f>('Dota 2'!$H$10/$Z$4) * (1-($Y$9*($AA$2+J43))/($Y$7+$Y$9*ABS($AA$2+J43)) - $Z$4)</f>
        <v>0</v>
      </c>
      <c r="AC43">
        <f>IF('Dota 2'!$C$6, K43*M43*(1-$Z$3)*'Dota 2'!$H$8, K43*L43*(1-$Z$3)*'Dota 2'!$H$8)</f>
        <v>0</v>
      </c>
      <c r="AD43">
        <f>N43*O43*'Dota 2'!$H$10</f>
        <v>0</v>
      </c>
      <c r="AE43" s="2">
        <f t="shared" si="4"/>
        <v>0</v>
      </c>
      <c r="AF43" s="17">
        <f t="shared" si="5"/>
        <v>0</v>
      </c>
    </row>
    <row r="44" spans="1:32" x14ac:dyDescent="0.25">
      <c r="A44" s="6" t="str">
        <f>[1]Items!$A30</f>
        <v>Ghost Scepter</v>
      </c>
      <c r="B44" s="16" t="str">
        <f>[1]Items!B30</f>
        <v>1500</v>
      </c>
      <c r="C44" s="16" t="str">
        <f>[1]Items!C30</f>
        <v>0</v>
      </c>
      <c r="D44" s="16" t="str">
        <f>[1]Items!D30</f>
        <v>0</v>
      </c>
      <c r="E44" s="16" t="str">
        <f>[1]Items!E30</f>
        <v>0</v>
      </c>
      <c r="F44" s="16" t="str">
        <f>[1]Items!F30</f>
        <v>0</v>
      </c>
      <c r="G44" s="16" t="str">
        <f>[1]Items!G30</f>
        <v>5</v>
      </c>
      <c r="H44" s="16" t="str">
        <f>[1]Items!H30</f>
        <v>5</v>
      </c>
      <c r="I44" s="16" t="str">
        <f>[1]Items!I30</f>
        <v>5</v>
      </c>
      <c r="J44" s="16" t="str">
        <f>[1]Items!J30</f>
        <v>0</v>
      </c>
      <c r="K44" s="16" t="str">
        <f>[1]Items!K30</f>
        <v>0</v>
      </c>
      <c r="L44" s="16" t="str">
        <f>[1]Items!L30</f>
        <v>0</v>
      </c>
      <c r="M44" s="16" t="str">
        <f>[1]Items!M30</f>
        <v>0</v>
      </c>
      <c r="N44" s="16" t="str">
        <f>[1]Items!N30</f>
        <v>1</v>
      </c>
      <c r="O44" s="16" t="str">
        <f>[1]Items!O30</f>
        <v>0</v>
      </c>
      <c r="P44" s="16" t="str">
        <f>[1]Items!P30</f>
        <v>false</v>
      </c>
      <c r="Q44" s="16">
        <f>[1]Items!Q30</f>
        <v>0</v>
      </c>
      <c r="R44" s="16">
        <f>[1]Items!R30</f>
        <v>0</v>
      </c>
      <c r="S44" s="16">
        <f>[1]Items!S30</f>
        <v>0</v>
      </c>
      <c r="W44">
        <f>IF('Dota 2'!$C$6, (Items!C44+Items!E44)*Items!$X$2, (Items!C44+Items!D44)*Items!$X$2)</f>
        <v>0</v>
      </c>
      <c r="X44">
        <f t="shared" si="0"/>
        <v>0</v>
      </c>
      <c r="Y44">
        <f t="shared" si="1"/>
        <v>0</v>
      </c>
      <c r="Z44">
        <f t="shared" si="2"/>
        <v>7.949125596184814</v>
      </c>
      <c r="AA44">
        <f t="shared" si="3"/>
        <v>0</v>
      </c>
      <c r="AB44">
        <f>('Dota 2'!$H$10/$Z$4) * (1-($Y$9*($AA$2+J44))/($Y$7+$Y$9*ABS($AA$2+J44)) - $Z$4)</f>
        <v>0</v>
      </c>
      <c r="AC44">
        <f>IF('Dota 2'!$C$6, K44*M44*(1-$Z$3)*'Dota 2'!$H$8, K44*L44*(1-$Z$3)*'Dota 2'!$H$8)</f>
        <v>0</v>
      </c>
      <c r="AD44">
        <f>N44*O44*'Dota 2'!$H$10</f>
        <v>0</v>
      </c>
      <c r="AE44" s="2">
        <f t="shared" si="4"/>
        <v>7.949125596184814</v>
      </c>
      <c r="AF44" s="17">
        <f t="shared" si="5"/>
        <v>5.2994170641232092E-3</v>
      </c>
    </row>
    <row r="45" spans="1:32" x14ac:dyDescent="0.25">
      <c r="A45" s="6" t="str">
        <f>[1]Items!$A31</f>
        <v>Giant's Ring</v>
      </c>
      <c r="B45" s="16" t="str">
        <f>[1]Items!B31</f>
        <v>0</v>
      </c>
      <c r="C45" s="16" t="str">
        <f>[1]Items!C31</f>
        <v>0</v>
      </c>
      <c r="D45" s="16" t="str">
        <f>[1]Items!D31</f>
        <v>0</v>
      </c>
      <c r="E45" s="16" t="str">
        <f>[1]Items!E31</f>
        <v>0</v>
      </c>
      <c r="F45" s="16" t="str">
        <f>[1]Items!F31</f>
        <v>0</v>
      </c>
      <c r="G45" s="16" t="str">
        <f>[1]Items!G31</f>
        <v>35</v>
      </c>
      <c r="H45" s="16" t="str">
        <f>[1]Items!H31</f>
        <v>0</v>
      </c>
      <c r="I45" s="16" t="str">
        <f>[1]Items!I31</f>
        <v>0</v>
      </c>
      <c r="J45" s="16" t="str">
        <f>[1]Items!J31</f>
        <v>0</v>
      </c>
      <c r="K45" s="16" t="str">
        <f>[1]Items!K31</f>
        <v>0</v>
      </c>
      <c r="L45" s="16" t="str">
        <f>[1]Items!L31</f>
        <v>0</v>
      </c>
      <c r="M45" s="16" t="str">
        <f>[1]Items!M31</f>
        <v>0</v>
      </c>
      <c r="N45" s="16" t="str">
        <f>[1]Items!N31</f>
        <v>1</v>
      </c>
      <c r="O45" s="16" t="str">
        <f>[1]Items!O31</f>
        <v>0</v>
      </c>
      <c r="P45" s="16" t="str">
        <f>[1]Items!P31</f>
        <v>true</v>
      </c>
      <c r="Q45" s="16">
        <f>[1]Items!Q31</f>
        <v>0</v>
      </c>
      <c r="R45" s="16">
        <f>[1]Items!R31</f>
        <v>0</v>
      </c>
      <c r="S45" s="16">
        <f>[1]Items!S31</f>
        <v>0</v>
      </c>
      <c r="W45">
        <f>IF('Dota 2'!$C$6, (Items!C45+Items!E45)*Items!$X$2, (Items!C45+Items!D45)*Items!$X$2)</f>
        <v>0</v>
      </c>
      <c r="X45">
        <f t="shared" si="0"/>
        <v>0</v>
      </c>
      <c r="Y45">
        <f t="shared" si="1"/>
        <v>0</v>
      </c>
      <c r="Z45">
        <f t="shared" si="2"/>
        <v>0</v>
      </c>
      <c r="AA45">
        <f t="shared" si="3"/>
        <v>0</v>
      </c>
      <c r="AB45">
        <f>('Dota 2'!$H$10/$Z$4) * (1-($Y$9*($AA$2+J45))/($Y$7+$Y$9*ABS($AA$2+J45)) - $Z$4)</f>
        <v>0</v>
      </c>
      <c r="AC45">
        <f>IF('Dota 2'!$C$6, K45*M45*(1-$Z$3)*'Dota 2'!$H$8, K45*L45*(1-$Z$3)*'Dota 2'!$H$8)</f>
        <v>0</v>
      </c>
      <c r="AD45">
        <f>N45*O45*'Dota 2'!$H$10</f>
        <v>0</v>
      </c>
      <c r="AE45" s="2">
        <f t="shared" si="4"/>
        <v>0</v>
      </c>
      <c r="AF45" s="17">
        <f t="shared" si="5"/>
        <v>0</v>
      </c>
    </row>
    <row r="46" spans="1:32" x14ac:dyDescent="0.25">
      <c r="A46" s="6" t="str">
        <f>[1]Items!$A32</f>
        <v>Gloves of Haste</v>
      </c>
      <c r="B46" s="16" t="str">
        <f>[1]Items!B32</f>
        <v>450</v>
      </c>
      <c r="C46" s="16" t="str">
        <f>[1]Items!C32</f>
        <v>0</v>
      </c>
      <c r="D46" s="16" t="str">
        <f>[1]Items!D32</f>
        <v>0</v>
      </c>
      <c r="E46" s="16" t="str">
        <f>[1]Items!E32</f>
        <v>0</v>
      </c>
      <c r="F46" s="16" t="str">
        <f>[1]Items!F32</f>
        <v>20</v>
      </c>
      <c r="G46" s="16" t="str">
        <f>[1]Items!G32</f>
        <v>0</v>
      </c>
      <c r="H46" s="16" t="str">
        <f>[1]Items!H32</f>
        <v>0</v>
      </c>
      <c r="I46" s="16" t="str">
        <f>[1]Items!I32</f>
        <v>0</v>
      </c>
      <c r="J46" s="16" t="str">
        <f>[1]Items!J32</f>
        <v>0</v>
      </c>
      <c r="K46" s="16" t="str">
        <f>[1]Items!K32</f>
        <v>0</v>
      </c>
      <c r="L46" s="16" t="str">
        <f>[1]Items!L32</f>
        <v>0</v>
      </c>
      <c r="M46" s="16" t="str">
        <f>[1]Items!M32</f>
        <v>0</v>
      </c>
      <c r="N46" s="16" t="str">
        <f>[1]Items!N32</f>
        <v>1</v>
      </c>
      <c r="O46" s="16" t="str">
        <f>[1]Items!O32</f>
        <v>0</v>
      </c>
      <c r="P46" s="16" t="str">
        <f>[1]Items!P32</f>
        <v>false</v>
      </c>
      <c r="Q46" s="16">
        <f>[1]Items!Q32</f>
        <v>0</v>
      </c>
      <c r="R46" s="16">
        <f>[1]Items!R32</f>
        <v>0</v>
      </c>
      <c r="S46" s="16">
        <f>[1]Items!S32</f>
        <v>0</v>
      </c>
      <c r="W46">
        <f>IF('Dota 2'!$C$6, (Items!C46+Items!E46)*Items!$X$2, (Items!C46+Items!D46)*Items!$X$2)</f>
        <v>0</v>
      </c>
      <c r="X46">
        <f t="shared" si="0"/>
        <v>15.898251192369912</v>
      </c>
      <c r="Y46">
        <f t="shared" si="1"/>
        <v>0</v>
      </c>
      <c r="Z46">
        <f t="shared" si="2"/>
        <v>0</v>
      </c>
      <c r="AA46">
        <f t="shared" si="3"/>
        <v>0</v>
      </c>
      <c r="AB46">
        <f>('Dota 2'!$H$10/$Z$4) * (1-($Y$9*($AA$2+J46))/($Y$7+$Y$9*ABS($AA$2+J46)) - $Z$4)</f>
        <v>0</v>
      </c>
      <c r="AC46">
        <f>IF('Dota 2'!$C$6, K46*M46*(1-$Z$3)*'Dota 2'!$H$8, K46*L46*(1-$Z$3)*'Dota 2'!$H$8)</f>
        <v>0</v>
      </c>
      <c r="AD46">
        <f>N46*O46*'Dota 2'!$H$10</f>
        <v>0</v>
      </c>
      <c r="AE46" s="2">
        <f t="shared" si="4"/>
        <v>15.898251192369912</v>
      </c>
      <c r="AF46" s="17">
        <f t="shared" si="5"/>
        <v>3.5329447094155357E-2</v>
      </c>
    </row>
    <row r="47" spans="1:32" x14ac:dyDescent="0.25">
      <c r="A47" s="6" t="str">
        <f>[1]Items!$A33</f>
        <v>Daedalus</v>
      </c>
      <c r="B47" s="16" t="str">
        <f>[1]Items!B33</f>
        <v>5150</v>
      </c>
      <c r="C47" s="16" t="str">
        <f>[1]Items!C33</f>
        <v>88</v>
      </c>
      <c r="D47" s="16" t="str">
        <f>[1]Items!D33</f>
        <v>0</v>
      </c>
      <c r="E47" s="16" t="str">
        <f>[1]Items!E33</f>
        <v>0</v>
      </c>
      <c r="F47" s="16" t="str">
        <f>[1]Items!F33</f>
        <v>0</v>
      </c>
      <c r="G47" s="16" t="str">
        <f>[1]Items!G33</f>
        <v>0</v>
      </c>
      <c r="H47" s="16" t="str">
        <f>[1]Items!H33</f>
        <v>0</v>
      </c>
      <c r="I47" s="16" t="str">
        <f>[1]Items!I33</f>
        <v>0</v>
      </c>
      <c r="J47" s="16" t="str">
        <f>[1]Items!J33</f>
        <v>0</v>
      </c>
      <c r="K47" s="16" t="str">
        <f>[1]Items!K33</f>
        <v>0</v>
      </c>
      <c r="L47" s="16" t="str">
        <f>[1]Items!L33</f>
        <v>0</v>
      </c>
      <c r="M47" s="16" t="str">
        <f>[1]Items!M33</f>
        <v>0</v>
      </c>
      <c r="N47" s="16" t="str">
        <f>[1]Items!N33</f>
        <v>2.25</v>
      </c>
      <c r="O47" s="16" t="str">
        <f>[1]Items!O33</f>
        <v>0.3</v>
      </c>
      <c r="P47" s="16" t="str">
        <f>[1]Items!P33</f>
        <v>false</v>
      </c>
      <c r="Q47" s="16">
        <f>[1]Items!Q33</f>
        <v>0</v>
      </c>
      <c r="R47" s="16">
        <f>[1]Items!R33</f>
        <v>0</v>
      </c>
      <c r="S47" s="16">
        <f>[1]Items!S33</f>
        <v>0</v>
      </c>
      <c r="W47">
        <f>IF('Dota 2'!$C$6, (Items!C47+Items!E47)*Items!$X$2, (Items!C47+Items!D47)*Items!$X$2)</f>
        <v>69.952305246425112</v>
      </c>
      <c r="X47">
        <f t="shared" si="0"/>
        <v>0</v>
      </c>
      <c r="Y47">
        <f t="shared" si="1"/>
        <v>0</v>
      </c>
      <c r="Z47">
        <f t="shared" si="2"/>
        <v>0</v>
      </c>
      <c r="AA47">
        <f t="shared" si="3"/>
        <v>0</v>
      </c>
      <c r="AB47">
        <f>('Dota 2'!$H$10/$Z$4) * (1-($Y$9*($AA$2+J47))/($Y$7+$Y$9*ABS($AA$2+J47)) - $Z$4)</f>
        <v>0</v>
      </c>
      <c r="AC47">
        <f>IF('Dota 2'!$C$6, K47*M47*(1-$Z$3)*'Dota 2'!$H$8, K47*L47*(1-$Z$3)*'Dota 2'!$H$8)</f>
        <v>0</v>
      </c>
      <c r="AD47">
        <f>N47*O47*'Dota 2'!$H$10</f>
        <v>107.31319554848965</v>
      </c>
      <c r="AE47" s="2">
        <f t="shared" si="4"/>
        <v>177.26550079491477</v>
      </c>
      <c r="AF47" s="17">
        <f t="shared" si="5"/>
        <v>3.4420485591245588E-2</v>
      </c>
    </row>
    <row r="48" spans="1:32" x14ac:dyDescent="0.25">
      <c r="A48" s="6" t="str">
        <f>[1]Items!$A34</f>
        <v>Greater Faerie Fire</v>
      </c>
      <c r="B48" s="16" t="str">
        <f>[1]Items!B34</f>
        <v>0</v>
      </c>
      <c r="C48" s="16" t="str">
        <f>[1]Items!C34</f>
        <v>20</v>
      </c>
      <c r="D48" s="16" t="str">
        <f>[1]Items!D34</f>
        <v>0</v>
      </c>
      <c r="E48" s="16" t="str">
        <f>[1]Items!E34</f>
        <v>0</v>
      </c>
      <c r="F48" s="16" t="str">
        <f>[1]Items!F34</f>
        <v>0</v>
      </c>
      <c r="G48" s="16" t="str">
        <f>[1]Items!G34</f>
        <v>0</v>
      </c>
      <c r="H48" s="16" t="str">
        <f>[1]Items!H34</f>
        <v>0</v>
      </c>
      <c r="I48" s="16" t="str">
        <f>[1]Items!I34</f>
        <v>0</v>
      </c>
      <c r="J48" s="16" t="str">
        <f>[1]Items!J34</f>
        <v>0</v>
      </c>
      <c r="K48" s="16" t="str">
        <f>[1]Items!K34</f>
        <v>0</v>
      </c>
      <c r="L48" s="16" t="str">
        <f>[1]Items!L34</f>
        <v>0</v>
      </c>
      <c r="M48" s="16" t="str">
        <f>[1]Items!M34</f>
        <v>0</v>
      </c>
      <c r="N48" s="16" t="str">
        <f>[1]Items!N34</f>
        <v>1</v>
      </c>
      <c r="O48" s="16" t="str">
        <f>[1]Items!O34</f>
        <v>0</v>
      </c>
      <c r="P48" s="16" t="str">
        <f>[1]Items!P34</f>
        <v>true</v>
      </c>
      <c r="Q48" s="16">
        <f>[1]Items!Q34</f>
        <v>0</v>
      </c>
      <c r="R48" s="16">
        <f>[1]Items!R34</f>
        <v>0</v>
      </c>
      <c r="S48" s="16">
        <f>[1]Items!S34</f>
        <v>0</v>
      </c>
      <c r="W48">
        <f>IF('Dota 2'!$C$6, (Items!C48+Items!E48)*Items!$X$2, (Items!C48+Items!D48)*Items!$X$2)</f>
        <v>15.898251192369344</v>
      </c>
      <c r="X48">
        <f t="shared" si="0"/>
        <v>0</v>
      </c>
      <c r="Y48">
        <f t="shared" si="1"/>
        <v>0</v>
      </c>
      <c r="Z48">
        <f t="shared" si="2"/>
        <v>0</v>
      </c>
      <c r="AA48">
        <f t="shared" si="3"/>
        <v>0</v>
      </c>
      <c r="AB48">
        <f>('Dota 2'!$H$10/$Z$4) * (1-($Y$9*($AA$2+J48))/($Y$7+$Y$9*ABS($AA$2+J48)) - $Z$4)</f>
        <v>0</v>
      </c>
      <c r="AC48">
        <f>IF('Dota 2'!$C$6, K48*M48*(1-$Z$3)*'Dota 2'!$H$8, K48*L48*(1-$Z$3)*'Dota 2'!$H$8)</f>
        <v>0</v>
      </c>
      <c r="AD48">
        <f>N48*O48*'Dota 2'!$H$10</f>
        <v>0</v>
      </c>
      <c r="AE48" s="2">
        <f t="shared" si="4"/>
        <v>15.898251192369344</v>
      </c>
      <c r="AF48" s="17">
        <f t="shared" si="5"/>
        <v>0</v>
      </c>
    </row>
    <row r="49" spans="1:32" x14ac:dyDescent="0.25">
      <c r="A49" s="6" t="str">
        <f>[1]Items!$A35</f>
        <v>Gleipnir</v>
      </c>
      <c r="B49" s="16" t="str">
        <f>[1]Items!B35</f>
        <v>6150</v>
      </c>
      <c r="C49" s="16" t="str">
        <f>[1]Items!C35</f>
        <v>30</v>
      </c>
      <c r="D49" s="16" t="str">
        <f>[1]Items!D35</f>
        <v>0</v>
      </c>
      <c r="E49" s="16" t="str">
        <f>[1]Items!E35</f>
        <v>0</v>
      </c>
      <c r="F49" s="16" t="str">
        <f>[1]Items!F35</f>
        <v>0</v>
      </c>
      <c r="G49" s="16" t="str">
        <f>[1]Items!G35</f>
        <v>14</v>
      </c>
      <c r="H49" s="16" t="str">
        <f>[1]Items!H35</f>
        <v>14</v>
      </c>
      <c r="I49" s="16" t="str">
        <f>[1]Items!I35</f>
        <v>24</v>
      </c>
      <c r="J49" s="16" t="str">
        <f>[1]Items!J35</f>
        <v>0</v>
      </c>
      <c r="K49" s="16" t="str">
        <f>[1]Items!K35</f>
        <v>160</v>
      </c>
      <c r="L49" s="16" t="str">
        <f>[1]Items!L35</f>
        <v>0.3</v>
      </c>
      <c r="M49" s="16" t="str">
        <f>[1]Items!M35</f>
        <v>0.3</v>
      </c>
      <c r="N49" s="16" t="str">
        <f>[1]Items!N35</f>
        <v>1</v>
      </c>
      <c r="O49" s="16" t="str">
        <f>[1]Items!O35</f>
        <v>0</v>
      </c>
      <c r="P49" s="16" t="str">
        <f>[1]Items!P35</f>
        <v>false</v>
      </c>
      <c r="Q49" s="16">
        <f>[1]Items!Q35</f>
        <v>0</v>
      </c>
      <c r="R49" s="16">
        <f>[1]Items!R35</f>
        <v>0</v>
      </c>
      <c r="S49" s="16">
        <f>[1]Items!S35</f>
        <v>0</v>
      </c>
      <c r="W49">
        <f>IF('Dota 2'!$C$6, (Items!C49+Items!E49)*Items!$X$2, (Items!C49+Items!D49)*Items!$X$2)</f>
        <v>23.847376788554016</v>
      </c>
      <c r="X49">
        <f t="shared" si="0"/>
        <v>0</v>
      </c>
      <c r="Y49">
        <f t="shared" si="1"/>
        <v>0</v>
      </c>
      <c r="Z49">
        <f t="shared" si="2"/>
        <v>22.257551669317479</v>
      </c>
      <c r="AA49">
        <f t="shared" si="3"/>
        <v>0</v>
      </c>
      <c r="AB49">
        <f>('Dota 2'!$H$10/$Z$4) * (1-($Y$9*($AA$2+J49))/($Y$7+$Y$9*ABS($AA$2+J49)) - $Z$4)</f>
        <v>0</v>
      </c>
      <c r="AC49">
        <f>IF('Dota 2'!$C$6, K49*M49*(1-$Z$3)*'Dota 2'!$H$8, K49*L49*(1-$Z$3)*'Dota 2'!$H$8)</f>
        <v>42.352941176470587</v>
      </c>
      <c r="AD49">
        <f>N49*O49*'Dota 2'!$H$10</f>
        <v>0</v>
      </c>
      <c r="AE49" s="2">
        <f t="shared" si="4"/>
        <v>88.457869634342075</v>
      </c>
      <c r="AF49" s="17">
        <f t="shared" si="5"/>
        <v>1.4383393436478386E-2</v>
      </c>
    </row>
    <row r="50" spans="1:32" x14ac:dyDescent="0.25">
      <c r="A50" s="6" t="str">
        <f>[1]Items!$A36</f>
        <v>Hand of Midas</v>
      </c>
      <c r="B50" s="16" t="str">
        <f>[1]Items!B36</f>
        <v>2200</v>
      </c>
      <c r="C50" s="16" t="str">
        <f>[1]Items!C36</f>
        <v>0</v>
      </c>
      <c r="D50" s="16" t="str">
        <f>[1]Items!D36</f>
        <v>0</v>
      </c>
      <c r="E50" s="16" t="str">
        <f>[1]Items!E36</f>
        <v>0</v>
      </c>
      <c r="F50" s="16" t="str">
        <f>[1]Items!F36</f>
        <v>40</v>
      </c>
      <c r="G50" s="16" t="str">
        <f>[1]Items!G36</f>
        <v>0</v>
      </c>
      <c r="H50" s="16" t="str">
        <f>[1]Items!H36</f>
        <v>0</v>
      </c>
      <c r="I50" s="16" t="str">
        <f>[1]Items!I36</f>
        <v>0</v>
      </c>
      <c r="J50" s="16" t="str">
        <f>[1]Items!J36</f>
        <v>0</v>
      </c>
      <c r="K50" s="16" t="str">
        <f>[1]Items!K36</f>
        <v>0</v>
      </c>
      <c r="L50" s="16" t="str">
        <f>[1]Items!L36</f>
        <v>0</v>
      </c>
      <c r="M50" s="16" t="str">
        <f>[1]Items!M36</f>
        <v>0</v>
      </c>
      <c r="N50" s="16" t="str">
        <f>[1]Items!N36</f>
        <v>1</v>
      </c>
      <c r="O50" s="16" t="str">
        <f>[1]Items!O36</f>
        <v>0</v>
      </c>
      <c r="P50" s="16" t="str">
        <f>[1]Items!P36</f>
        <v>false</v>
      </c>
      <c r="Q50" s="16">
        <f>[1]Items!Q36</f>
        <v>0</v>
      </c>
      <c r="R50" s="16">
        <f>[1]Items!R36</f>
        <v>0</v>
      </c>
      <c r="S50" s="16">
        <f>[1]Items!S36</f>
        <v>0</v>
      </c>
      <c r="W50">
        <f>IF('Dota 2'!$C$6, (Items!C50+Items!E50)*Items!$X$2, (Items!C50+Items!D50)*Items!$X$2)</f>
        <v>0</v>
      </c>
      <c r="X50">
        <f t="shared" si="0"/>
        <v>31.796502384739824</v>
      </c>
      <c r="Y50">
        <f t="shared" si="1"/>
        <v>0</v>
      </c>
      <c r="Z50">
        <f t="shared" si="2"/>
        <v>0</v>
      </c>
      <c r="AA50">
        <f t="shared" si="3"/>
        <v>0</v>
      </c>
      <c r="AB50">
        <f>('Dota 2'!$H$10/$Z$4) * (1-($Y$9*($AA$2+J50))/($Y$7+$Y$9*ABS($AA$2+J50)) - $Z$4)</f>
        <v>0</v>
      </c>
      <c r="AC50">
        <f>IF('Dota 2'!$C$6, K50*M50*(1-$Z$3)*'Dota 2'!$H$8, K50*L50*(1-$Z$3)*'Dota 2'!$H$8)</f>
        <v>0</v>
      </c>
      <c r="AD50">
        <f>N50*O50*'Dota 2'!$H$10</f>
        <v>0</v>
      </c>
      <c r="AE50" s="2">
        <f t="shared" si="4"/>
        <v>31.796502384739824</v>
      </c>
      <c r="AF50" s="17">
        <f t="shared" si="5"/>
        <v>1.4452955629427193E-2</v>
      </c>
    </row>
    <row r="51" spans="1:32" x14ac:dyDescent="0.25">
      <c r="A51" s="6" t="str">
        <f>[1]Items!$A37</f>
        <v>Havoc Hammer</v>
      </c>
      <c r="B51" s="16" t="str">
        <f>[1]Items!B37</f>
        <v>0</v>
      </c>
      <c r="C51" s="16" t="str">
        <f>[1]Items!C37</f>
        <v>12</v>
      </c>
      <c r="D51" s="16" t="str">
        <f>[1]Items!D37</f>
        <v>0</v>
      </c>
      <c r="E51" s="16" t="str">
        <f>[1]Items!E37</f>
        <v>0</v>
      </c>
      <c r="F51" s="16" t="str">
        <f>[1]Items!F37</f>
        <v>0</v>
      </c>
      <c r="G51" s="16" t="str">
        <f>[1]Items!G37</f>
        <v>12</v>
      </c>
      <c r="H51" s="16" t="str">
        <f>[1]Items!H37</f>
        <v>0</v>
      </c>
      <c r="I51" s="16" t="str">
        <f>[1]Items!I37</f>
        <v>0</v>
      </c>
      <c r="J51" s="16" t="str">
        <f>[1]Items!J37</f>
        <v>0</v>
      </c>
      <c r="K51" s="16" t="str">
        <f>[1]Items!K37</f>
        <v>0</v>
      </c>
      <c r="L51" s="16" t="str">
        <f>[1]Items!L37</f>
        <v>0</v>
      </c>
      <c r="M51" s="16" t="str">
        <f>[1]Items!M37</f>
        <v>0</v>
      </c>
      <c r="N51" s="16" t="str">
        <f>[1]Items!N37</f>
        <v>1</v>
      </c>
      <c r="O51" s="16" t="str">
        <f>[1]Items!O37</f>
        <v>0</v>
      </c>
      <c r="P51" s="16" t="str">
        <f>[1]Items!P37</f>
        <v>true</v>
      </c>
      <c r="Q51" s="16">
        <f>[1]Items!Q37</f>
        <v>0</v>
      </c>
      <c r="R51" s="16">
        <f>[1]Items!R37</f>
        <v>0</v>
      </c>
      <c r="S51" s="16">
        <f>[1]Items!S37</f>
        <v>0</v>
      </c>
      <c r="W51">
        <f>IF('Dota 2'!$C$6, (Items!C51+Items!E51)*Items!$X$2, (Items!C51+Items!D51)*Items!$X$2)</f>
        <v>9.5389507154216062</v>
      </c>
      <c r="X51">
        <f t="shared" si="0"/>
        <v>0</v>
      </c>
      <c r="Y51">
        <f t="shared" si="1"/>
        <v>0</v>
      </c>
      <c r="Z51">
        <f t="shared" si="2"/>
        <v>0</v>
      </c>
      <c r="AA51">
        <f t="shared" si="3"/>
        <v>0</v>
      </c>
      <c r="AB51">
        <f>('Dota 2'!$H$10/$Z$4) * (1-($Y$9*($AA$2+J51))/($Y$7+$Y$9*ABS($AA$2+J51)) - $Z$4)</f>
        <v>0</v>
      </c>
      <c r="AC51">
        <f>IF('Dota 2'!$C$6, K51*M51*(1-$Z$3)*'Dota 2'!$H$8, K51*L51*(1-$Z$3)*'Dota 2'!$H$8)</f>
        <v>0</v>
      </c>
      <c r="AD51">
        <f>N51*O51*'Dota 2'!$H$10</f>
        <v>0</v>
      </c>
      <c r="AE51" s="2">
        <f t="shared" si="4"/>
        <v>9.5389507154216062</v>
      </c>
      <c r="AF51" s="17">
        <f t="shared" si="5"/>
        <v>0</v>
      </c>
    </row>
    <row r="52" spans="1:32" x14ac:dyDescent="0.25">
      <c r="A52" s="6" t="str">
        <f>[1]Items!$A38</f>
        <v>Heart of Tarrasque</v>
      </c>
      <c r="B52" s="16" t="str">
        <f>[1]Items!B38</f>
        <v>5000</v>
      </c>
      <c r="C52" s="16" t="str">
        <f>[1]Items!C38</f>
        <v>0</v>
      </c>
      <c r="D52" s="16" t="str">
        <f>[1]Items!D38</f>
        <v>0</v>
      </c>
      <c r="E52" s="16" t="str">
        <f>[1]Items!E38</f>
        <v>0</v>
      </c>
      <c r="F52" s="16" t="str">
        <f>[1]Items!F38</f>
        <v>0</v>
      </c>
      <c r="G52" s="16" t="str">
        <f>[1]Items!G38</f>
        <v>45</v>
      </c>
      <c r="H52" s="16" t="str">
        <f>[1]Items!H38</f>
        <v>0</v>
      </c>
      <c r="I52" s="16" t="str">
        <f>[1]Items!I38</f>
        <v>0</v>
      </c>
      <c r="J52" s="16" t="str">
        <f>[1]Items!J38</f>
        <v>0</v>
      </c>
      <c r="K52" s="16" t="str">
        <f>[1]Items!K38</f>
        <v>0</v>
      </c>
      <c r="L52" s="16" t="str">
        <f>[1]Items!L38</f>
        <v>0</v>
      </c>
      <c r="M52" s="16" t="str">
        <f>[1]Items!M38</f>
        <v>0</v>
      </c>
      <c r="N52" s="16" t="str">
        <f>[1]Items!N38</f>
        <v>1</v>
      </c>
      <c r="O52" s="16" t="str">
        <f>[1]Items!O38</f>
        <v>0</v>
      </c>
      <c r="P52" s="16" t="str">
        <f>[1]Items!P38</f>
        <v>false</v>
      </c>
      <c r="Q52" s="16">
        <f>[1]Items!Q38</f>
        <v>0</v>
      </c>
      <c r="R52" s="16">
        <f>[1]Items!R38</f>
        <v>0</v>
      </c>
      <c r="S52" s="16">
        <f>[1]Items!S38</f>
        <v>0</v>
      </c>
      <c r="W52">
        <f>IF('Dota 2'!$C$6, (Items!C52+Items!E52)*Items!$X$2, (Items!C52+Items!D52)*Items!$X$2)</f>
        <v>0</v>
      </c>
      <c r="X52">
        <f t="shared" si="0"/>
        <v>0</v>
      </c>
      <c r="Y52">
        <f t="shared" si="1"/>
        <v>0</v>
      </c>
      <c r="Z52">
        <f t="shared" si="2"/>
        <v>0</v>
      </c>
      <c r="AA52">
        <f t="shared" si="3"/>
        <v>0</v>
      </c>
      <c r="AB52">
        <f>('Dota 2'!$H$10/$Z$4) * (1-($Y$9*($AA$2+J52))/($Y$7+$Y$9*ABS($AA$2+J52)) - $Z$4)</f>
        <v>0</v>
      </c>
      <c r="AC52">
        <f>IF('Dota 2'!$C$6, K52*M52*(1-$Z$3)*'Dota 2'!$H$8, K52*L52*(1-$Z$3)*'Dota 2'!$H$8)</f>
        <v>0</v>
      </c>
      <c r="AD52">
        <f>N52*O52*'Dota 2'!$H$10</f>
        <v>0</v>
      </c>
      <c r="AE52" s="2">
        <f t="shared" si="4"/>
        <v>0</v>
      </c>
      <c r="AF52" s="17">
        <f t="shared" si="5"/>
        <v>0</v>
      </c>
    </row>
    <row r="53" spans="1:32" x14ac:dyDescent="0.25">
      <c r="A53" s="6" t="str">
        <f>[1]Items!$A39</f>
        <v>Heaven's Halberd</v>
      </c>
      <c r="B53" s="16" t="str">
        <f>[1]Items!B39</f>
        <v>3550</v>
      </c>
      <c r="C53" s="16" t="str">
        <f>[1]Items!C39</f>
        <v>0</v>
      </c>
      <c r="D53" s="16" t="str">
        <f>[1]Items!D39</f>
        <v>0</v>
      </c>
      <c r="E53" s="16" t="str">
        <f>[1]Items!E39</f>
        <v>0</v>
      </c>
      <c r="F53" s="16" t="str">
        <f>[1]Items!F39</f>
        <v>0</v>
      </c>
      <c r="G53" s="16" t="str">
        <f>[1]Items!G39</f>
        <v>20</v>
      </c>
      <c r="H53" s="16" t="str">
        <f>[1]Items!H39</f>
        <v>0</v>
      </c>
      <c r="I53" s="16" t="str">
        <f>[1]Items!I39</f>
        <v>0</v>
      </c>
      <c r="J53" s="16" t="str">
        <f>[1]Items!J39</f>
        <v>0</v>
      </c>
      <c r="K53" s="16" t="str">
        <f>[1]Items!K39</f>
        <v>0</v>
      </c>
      <c r="L53" s="16" t="str">
        <f>[1]Items!L39</f>
        <v>0</v>
      </c>
      <c r="M53" s="16" t="str">
        <f>[1]Items!M39</f>
        <v>0</v>
      </c>
      <c r="N53" s="16" t="str">
        <f>[1]Items!N39</f>
        <v>1</v>
      </c>
      <c r="O53" s="16" t="str">
        <f>[1]Items!O39</f>
        <v>0</v>
      </c>
      <c r="P53" s="16" t="str">
        <f>[1]Items!P39</f>
        <v>false</v>
      </c>
      <c r="Q53" s="16">
        <f>[1]Items!Q39</f>
        <v>0</v>
      </c>
      <c r="R53" s="16">
        <f>[1]Items!R39</f>
        <v>0</v>
      </c>
      <c r="S53" s="16">
        <f>[1]Items!S39</f>
        <v>0</v>
      </c>
      <c r="W53">
        <f>IF('Dota 2'!$C$6, (Items!C53+Items!E53)*Items!$X$2, (Items!C53+Items!D53)*Items!$X$2)</f>
        <v>0</v>
      </c>
      <c r="X53">
        <f t="shared" si="0"/>
        <v>0</v>
      </c>
      <c r="Y53">
        <f t="shared" si="1"/>
        <v>0</v>
      </c>
      <c r="Z53">
        <f t="shared" si="2"/>
        <v>0</v>
      </c>
      <c r="AA53">
        <f t="shared" si="3"/>
        <v>0</v>
      </c>
      <c r="AB53">
        <f>('Dota 2'!$H$10/$Z$4) * (1-($Y$9*($AA$2+J53))/($Y$7+$Y$9*ABS($AA$2+J53)) - $Z$4)</f>
        <v>0</v>
      </c>
      <c r="AC53">
        <f>IF('Dota 2'!$C$6, K53*M53*(1-$Z$3)*'Dota 2'!$H$8, K53*L53*(1-$Z$3)*'Dota 2'!$H$8)</f>
        <v>0</v>
      </c>
      <c r="AD53">
        <f>N53*O53*'Dota 2'!$H$10</f>
        <v>0</v>
      </c>
      <c r="AE53" s="2">
        <f t="shared" si="4"/>
        <v>0</v>
      </c>
      <c r="AF53" s="17">
        <f t="shared" si="5"/>
        <v>0</v>
      </c>
    </row>
    <row r="54" spans="1:32" x14ac:dyDescent="0.25">
      <c r="A54" s="6" t="str">
        <f>[1]Items!$A40</f>
        <v>Hyperstone</v>
      </c>
      <c r="B54" s="16" t="str">
        <f>[1]Items!B40</f>
        <v>2000</v>
      </c>
      <c r="C54" s="16" t="str">
        <f>[1]Items!C40</f>
        <v>0</v>
      </c>
      <c r="D54" s="16" t="str">
        <f>[1]Items!D40</f>
        <v>0</v>
      </c>
      <c r="E54" s="16" t="str">
        <f>[1]Items!E40</f>
        <v>0</v>
      </c>
      <c r="F54" s="16" t="str">
        <f>[1]Items!F40</f>
        <v>60</v>
      </c>
      <c r="G54" s="16" t="str">
        <f>[1]Items!G40</f>
        <v>0</v>
      </c>
      <c r="H54" s="16" t="str">
        <f>[1]Items!H40</f>
        <v>0</v>
      </c>
      <c r="I54" s="16" t="str">
        <f>[1]Items!I40</f>
        <v>0</v>
      </c>
      <c r="J54" s="16" t="str">
        <f>[1]Items!J40</f>
        <v>0</v>
      </c>
      <c r="K54" s="16" t="str">
        <f>[1]Items!K40</f>
        <v>0</v>
      </c>
      <c r="L54" s="16" t="str">
        <f>[1]Items!L40</f>
        <v>0</v>
      </c>
      <c r="M54" s="16" t="str">
        <f>[1]Items!M40</f>
        <v>0</v>
      </c>
      <c r="N54" s="16" t="str">
        <f>[1]Items!N40</f>
        <v>1</v>
      </c>
      <c r="O54" s="16" t="str">
        <f>[1]Items!O40</f>
        <v>0</v>
      </c>
      <c r="P54" s="16" t="str">
        <f>[1]Items!P40</f>
        <v>false</v>
      </c>
      <c r="Q54" s="16">
        <f>[1]Items!Q40</f>
        <v>0</v>
      </c>
      <c r="R54" s="16">
        <f>[1]Items!R40</f>
        <v>0</v>
      </c>
      <c r="S54" s="16">
        <f>[1]Items!S40</f>
        <v>0</v>
      </c>
      <c r="W54">
        <f>IF('Dota 2'!$C$6, (Items!C54+Items!E54)*Items!$X$2, (Items!C54+Items!D54)*Items!$X$2)</f>
        <v>0</v>
      </c>
      <c r="X54">
        <f t="shared" si="0"/>
        <v>47.694753577109736</v>
      </c>
      <c r="Y54">
        <f t="shared" si="1"/>
        <v>0</v>
      </c>
      <c r="Z54">
        <f t="shared" si="2"/>
        <v>0</v>
      </c>
      <c r="AA54">
        <f t="shared" si="3"/>
        <v>0</v>
      </c>
      <c r="AB54">
        <f>('Dota 2'!$H$10/$Z$4) * (1-($Y$9*($AA$2+J54))/($Y$7+$Y$9*ABS($AA$2+J54)) - $Z$4)</f>
        <v>0</v>
      </c>
      <c r="AC54">
        <f>IF('Dota 2'!$C$6, K54*M54*(1-$Z$3)*'Dota 2'!$H$8, K54*L54*(1-$Z$3)*'Dota 2'!$H$8)</f>
        <v>0</v>
      </c>
      <c r="AD54">
        <f>N54*O54*'Dota 2'!$H$10</f>
        <v>0</v>
      </c>
      <c r="AE54" s="2">
        <f t="shared" si="4"/>
        <v>47.694753577109736</v>
      </c>
      <c r="AF54" s="17">
        <f t="shared" si="5"/>
        <v>2.3847376788554867E-2</v>
      </c>
    </row>
    <row r="55" spans="1:32" x14ac:dyDescent="0.25">
      <c r="A55" s="6" t="str">
        <f>[1]Items!$A41</f>
        <v>Imp Claw</v>
      </c>
      <c r="B55" s="16" t="str">
        <f>[1]Items!B41</f>
        <v>0</v>
      </c>
      <c r="C55" s="16" t="str">
        <f>[1]Items!C41</f>
        <v>26</v>
      </c>
      <c r="D55" s="16" t="str">
        <f>[1]Items!D41</f>
        <v>0</v>
      </c>
      <c r="E55" s="16" t="str">
        <f>[1]Items!E41</f>
        <v>0</v>
      </c>
      <c r="F55" s="16" t="str">
        <f>[1]Items!F41</f>
        <v>0</v>
      </c>
      <c r="G55" s="16" t="str">
        <f>[1]Items!G41</f>
        <v>0</v>
      </c>
      <c r="H55" s="16" t="str">
        <f>[1]Items!H41</f>
        <v>0</v>
      </c>
      <c r="I55" s="16" t="str">
        <f>[1]Items!I41</f>
        <v>0</v>
      </c>
      <c r="J55" s="16" t="str">
        <f>[1]Items!J41</f>
        <v>0</v>
      </c>
      <c r="K55" s="16" t="str">
        <f>[1]Items!K41</f>
        <v>0</v>
      </c>
      <c r="L55" s="16" t="str">
        <f>[1]Items!L41</f>
        <v>0</v>
      </c>
      <c r="M55" s="16" t="str">
        <f>[1]Items!M41</f>
        <v>0</v>
      </c>
      <c r="N55" s="16" t="str">
        <f>[1]Items!N41</f>
        <v>1.3</v>
      </c>
      <c r="O55" s="16" t="str">
        <f>[1]Items!O41</f>
        <v>0</v>
      </c>
      <c r="P55" s="16" t="str">
        <f>[1]Items!P41</f>
        <v>true</v>
      </c>
      <c r="Q55" s="16">
        <f>[1]Items!Q41</f>
        <v>0</v>
      </c>
      <c r="R55" s="16">
        <f>[1]Items!R41</f>
        <v>0</v>
      </c>
      <c r="S55" s="16">
        <f>[1]Items!S41</f>
        <v>0</v>
      </c>
      <c r="W55">
        <f>IF('Dota 2'!$C$6, (Items!C55+Items!E55)*Items!$X$2, (Items!C55+Items!D55)*Items!$X$2)</f>
        <v>20.667726550080147</v>
      </c>
      <c r="X55">
        <f t="shared" si="0"/>
        <v>0</v>
      </c>
      <c r="Y55">
        <f t="shared" si="1"/>
        <v>0</v>
      </c>
      <c r="Z55">
        <f t="shared" si="2"/>
        <v>0</v>
      </c>
      <c r="AA55">
        <f t="shared" si="3"/>
        <v>0</v>
      </c>
      <c r="AB55">
        <f>('Dota 2'!$H$10/$Z$4) * (1-($Y$9*($AA$2+J55))/($Y$7+$Y$9*ABS($AA$2+J55)) - $Z$4)</f>
        <v>0</v>
      </c>
      <c r="AC55">
        <f>IF('Dota 2'!$C$6, K55*M55*(1-$Z$3)*'Dota 2'!$H$8, K55*L55*(1-$Z$3)*'Dota 2'!$H$8)</f>
        <v>0</v>
      </c>
      <c r="AD55">
        <f>N55*O55*'Dota 2'!$H$10</f>
        <v>0</v>
      </c>
      <c r="AE55" s="2">
        <f t="shared" si="4"/>
        <v>20.667726550080147</v>
      </c>
      <c r="AF55" s="17">
        <f t="shared" si="5"/>
        <v>0</v>
      </c>
    </row>
    <row r="56" spans="1:32" x14ac:dyDescent="0.25">
      <c r="A56" s="6" t="str">
        <f>[1]Items!$A42</f>
        <v>Shadow Blade</v>
      </c>
      <c r="B56" s="16" t="str">
        <f>[1]Items!B42</f>
        <v>3000</v>
      </c>
      <c r="C56" s="16" t="str">
        <f>[1]Items!C42</f>
        <v>20</v>
      </c>
      <c r="D56" s="16" t="str">
        <f>[1]Items!D42</f>
        <v>0</v>
      </c>
      <c r="E56" s="16" t="str">
        <f>[1]Items!E42</f>
        <v>0</v>
      </c>
      <c r="F56" s="16" t="str">
        <f>[1]Items!F42</f>
        <v>35</v>
      </c>
      <c r="G56" s="16" t="str">
        <f>[1]Items!G42</f>
        <v>0</v>
      </c>
      <c r="H56" s="16" t="str">
        <f>[1]Items!H42</f>
        <v>0</v>
      </c>
      <c r="I56" s="16" t="str">
        <f>[1]Items!I42</f>
        <v>0</v>
      </c>
      <c r="J56" s="16" t="str">
        <f>[1]Items!J42</f>
        <v>0</v>
      </c>
      <c r="K56" s="16" t="str">
        <f>[1]Items!K42</f>
        <v>0</v>
      </c>
      <c r="L56" s="16" t="str">
        <f>[1]Items!L42</f>
        <v>0</v>
      </c>
      <c r="M56" s="16" t="str">
        <f>[1]Items!M42</f>
        <v>0</v>
      </c>
      <c r="N56" s="16" t="str">
        <f>[1]Items!N42</f>
        <v>1</v>
      </c>
      <c r="O56" s="16" t="str">
        <f>[1]Items!O42</f>
        <v>0</v>
      </c>
      <c r="P56" s="16" t="str">
        <f>[1]Items!P42</f>
        <v>false</v>
      </c>
      <c r="Q56" s="16">
        <f>[1]Items!Q42</f>
        <v>0</v>
      </c>
      <c r="R56" s="16">
        <f>[1]Items!R42</f>
        <v>0</v>
      </c>
      <c r="S56" s="16">
        <f>[1]Items!S42</f>
        <v>0</v>
      </c>
      <c r="W56">
        <f>IF('Dota 2'!$C$6, (Items!C56+Items!E56)*Items!$X$2, (Items!C56+Items!D56)*Items!$X$2)</f>
        <v>15.898251192369344</v>
      </c>
      <c r="X56">
        <f t="shared" si="0"/>
        <v>27.821939586647346</v>
      </c>
      <c r="Y56">
        <f t="shared" si="1"/>
        <v>0</v>
      </c>
      <c r="Z56">
        <f t="shared" si="2"/>
        <v>0</v>
      </c>
      <c r="AA56">
        <f t="shared" si="3"/>
        <v>0</v>
      </c>
      <c r="AB56">
        <f>('Dota 2'!$H$10/$Z$4) * (1-($Y$9*($AA$2+J56))/($Y$7+$Y$9*ABS($AA$2+J56)) - $Z$4)</f>
        <v>0</v>
      </c>
      <c r="AC56">
        <f>IF('Dota 2'!$C$6, K56*M56*(1-$Z$3)*'Dota 2'!$H$8, K56*L56*(1-$Z$3)*'Dota 2'!$H$8)</f>
        <v>0</v>
      </c>
      <c r="AD56">
        <f>N56*O56*'Dota 2'!$H$10</f>
        <v>0</v>
      </c>
      <c r="AE56" s="2">
        <f t="shared" si="4"/>
        <v>43.72019077901669</v>
      </c>
      <c r="AF56" s="17">
        <f t="shared" si="5"/>
        <v>1.4573396926338897E-2</v>
      </c>
    </row>
    <row r="57" spans="1:32" x14ac:dyDescent="0.25">
      <c r="A57" s="6" t="str">
        <f>[1]Items!$A43</f>
        <v>Iron Talon</v>
      </c>
      <c r="B57" s="16" t="str">
        <f>[1]Items!B43</f>
        <v>301</v>
      </c>
      <c r="C57" s="16" t="str">
        <f>[1]Items!C43</f>
        <v>0</v>
      </c>
      <c r="D57" s="16" t="str">
        <f>[1]Items!D43</f>
        <v>0</v>
      </c>
      <c r="E57" s="16" t="str">
        <f>[1]Items!E43</f>
        <v>0</v>
      </c>
      <c r="F57" s="16" t="str">
        <f>[1]Items!F43</f>
        <v>15</v>
      </c>
      <c r="G57" s="16" t="str">
        <f>[1]Items!G43</f>
        <v>0</v>
      </c>
      <c r="H57" s="16" t="str">
        <f>[1]Items!H43</f>
        <v>0</v>
      </c>
      <c r="I57" s="16" t="str">
        <f>[1]Items!I43</f>
        <v>0</v>
      </c>
      <c r="J57" s="16" t="str">
        <f>[1]Items!J43</f>
        <v>0</v>
      </c>
      <c r="K57" s="16" t="str">
        <f>[1]Items!K43</f>
        <v>0</v>
      </c>
      <c r="L57" s="16" t="str">
        <f>[1]Items!L43</f>
        <v>0</v>
      </c>
      <c r="M57" s="16" t="str">
        <f>[1]Items!M43</f>
        <v>0</v>
      </c>
      <c r="N57" s="16" t="str">
        <f>[1]Items!N43</f>
        <v>1</v>
      </c>
      <c r="O57" s="16" t="str">
        <f>[1]Items!O43</f>
        <v>0</v>
      </c>
      <c r="P57" s="16" t="str">
        <f>[1]Items!P43</f>
        <v>true</v>
      </c>
      <c r="Q57" s="16">
        <f>[1]Items!Q43</f>
        <v>0</v>
      </c>
      <c r="R57" s="16">
        <f>[1]Items!R43</f>
        <v>0</v>
      </c>
      <c r="S57" s="16">
        <f>[1]Items!S43</f>
        <v>0</v>
      </c>
      <c r="W57">
        <f>IF('Dota 2'!$C$6, (Items!C57+Items!E57)*Items!$X$2, (Items!C57+Items!D57)*Items!$X$2)</f>
        <v>0</v>
      </c>
      <c r="X57">
        <f t="shared" si="0"/>
        <v>11.923688394277434</v>
      </c>
      <c r="Y57">
        <f t="shared" si="1"/>
        <v>0</v>
      </c>
      <c r="Z57">
        <f t="shared" si="2"/>
        <v>0</v>
      </c>
      <c r="AA57">
        <f t="shared" si="3"/>
        <v>0</v>
      </c>
      <c r="AB57">
        <f>('Dota 2'!$H$10/$Z$4) * (1-($Y$9*($AA$2+J57))/($Y$7+$Y$9*ABS($AA$2+J57)) - $Z$4)</f>
        <v>0</v>
      </c>
      <c r="AC57">
        <f>IF('Dota 2'!$C$6, K57*M57*(1-$Z$3)*'Dota 2'!$H$8, K57*L57*(1-$Z$3)*'Dota 2'!$H$8)</f>
        <v>0</v>
      </c>
      <c r="AD57">
        <f>N57*O57*'Dota 2'!$H$10</f>
        <v>0</v>
      </c>
      <c r="AE57" s="2">
        <f t="shared" si="4"/>
        <v>11.923688394277434</v>
      </c>
      <c r="AF57" s="17">
        <f t="shared" si="5"/>
        <v>3.9613582705240645E-2</v>
      </c>
    </row>
    <row r="58" spans="1:32" x14ac:dyDescent="0.25">
      <c r="A58" s="6" t="str">
        <f>[1]Items!$A44</f>
        <v>Ironwood Tree</v>
      </c>
      <c r="B58" s="16" t="str">
        <f>[1]Items!B44</f>
        <v>151</v>
      </c>
      <c r="C58" s="16" t="str">
        <f>[1]Items!C44</f>
        <v>0</v>
      </c>
      <c r="D58" s="16" t="str">
        <f>[1]Items!D44</f>
        <v>0</v>
      </c>
      <c r="E58" s="16" t="str">
        <f>[1]Items!E44</f>
        <v>0</v>
      </c>
      <c r="F58" s="16" t="str">
        <f>[1]Items!F44</f>
        <v>0</v>
      </c>
      <c r="G58" s="16" t="str">
        <f>[1]Items!G44</f>
        <v>6</v>
      </c>
      <c r="H58" s="16" t="str">
        <f>[1]Items!H44</f>
        <v>6</v>
      </c>
      <c r="I58" s="16" t="str">
        <f>[1]Items!I44</f>
        <v>6</v>
      </c>
      <c r="J58" s="16" t="str">
        <f>[1]Items!J44</f>
        <v>0</v>
      </c>
      <c r="K58" s="16" t="str">
        <f>[1]Items!K44</f>
        <v>0</v>
      </c>
      <c r="L58" s="16" t="str">
        <f>[1]Items!L44</f>
        <v>0</v>
      </c>
      <c r="M58" s="16" t="str">
        <f>[1]Items!M44</f>
        <v>0</v>
      </c>
      <c r="N58" s="16" t="str">
        <f>[1]Items!N44</f>
        <v>1</v>
      </c>
      <c r="O58" s="16" t="str">
        <f>[1]Items!O44</f>
        <v>0</v>
      </c>
      <c r="P58" s="16" t="str">
        <f>[1]Items!P44</f>
        <v>true</v>
      </c>
      <c r="Q58" s="16">
        <f>[1]Items!Q44</f>
        <v>0</v>
      </c>
      <c r="R58" s="16">
        <f>[1]Items!R44</f>
        <v>0</v>
      </c>
      <c r="S58" s="16">
        <f>[1]Items!S44</f>
        <v>0</v>
      </c>
      <c r="W58">
        <f>IF('Dota 2'!$C$6, (Items!C58+Items!E58)*Items!$X$2, (Items!C58+Items!D58)*Items!$X$2)</f>
        <v>0</v>
      </c>
      <c r="X58">
        <f t="shared" si="0"/>
        <v>0</v>
      </c>
      <c r="Y58">
        <f t="shared" si="1"/>
        <v>0</v>
      </c>
      <c r="Z58">
        <f t="shared" si="2"/>
        <v>9.5389507154217767</v>
      </c>
      <c r="AA58">
        <f t="shared" si="3"/>
        <v>0</v>
      </c>
      <c r="AB58">
        <f>('Dota 2'!$H$10/$Z$4) * (1-($Y$9*($AA$2+J58))/($Y$7+$Y$9*ABS($AA$2+J58)) - $Z$4)</f>
        <v>0</v>
      </c>
      <c r="AC58">
        <f>IF('Dota 2'!$C$6, K58*M58*(1-$Z$3)*'Dota 2'!$H$8, K58*L58*(1-$Z$3)*'Dota 2'!$H$8)</f>
        <v>0</v>
      </c>
      <c r="AD58">
        <f>N58*O58*'Dota 2'!$H$10</f>
        <v>0</v>
      </c>
      <c r="AE58" s="2">
        <f t="shared" si="4"/>
        <v>9.5389507154217767</v>
      </c>
      <c r="AF58" s="17">
        <f t="shared" si="5"/>
        <v>6.3171859042528325E-2</v>
      </c>
    </row>
    <row r="59" spans="1:32" x14ac:dyDescent="0.25">
      <c r="A59" s="6" t="str">
        <f>[1]Items!$A45</f>
        <v>Javelin</v>
      </c>
      <c r="B59" s="16" t="str">
        <f>[1]Items!B45</f>
        <v>1100</v>
      </c>
      <c r="C59" s="16" t="str">
        <f>[1]Items!C45</f>
        <v>0</v>
      </c>
      <c r="D59" s="16" t="str">
        <f>[1]Items!D45</f>
        <v>0</v>
      </c>
      <c r="E59" s="16" t="str">
        <f>[1]Items!E45</f>
        <v>0</v>
      </c>
      <c r="F59" s="16" t="str">
        <f>[1]Items!F45</f>
        <v>0</v>
      </c>
      <c r="G59" s="16" t="str">
        <f>[1]Items!G45</f>
        <v>0</v>
      </c>
      <c r="H59" s="16" t="str">
        <f>[1]Items!H45</f>
        <v>0</v>
      </c>
      <c r="I59" s="16" t="str">
        <f>[1]Items!I45</f>
        <v>0</v>
      </c>
      <c r="J59" s="16" t="str">
        <f>[1]Items!J45</f>
        <v>0</v>
      </c>
      <c r="K59" s="16" t="str">
        <f>[1]Items!K45</f>
        <v>70</v>
      </c>
      <c r="L59" s="16" t="str">
        <f>[1]Items!L45</f>
        <v>0.3</v>
      </c>
      <c r="M59" s="16" t="str">
        <f>[1]Items!M45</f>
        <v>0.3</v>
      </c>
      <c r="N59" s="16" t="str">
        <f>[1]Items!N45</f>
        <v>1</v>
      </c>
      <c r="O59" s="16" t="str">
        <f>[1]Items!O45</f>
        <v>0</v>
      </c>
      <c r="P59" s="16" t="str">
        <f>[1]Items!P45</f>
        <v>false</v>
      </c>
      <c r="Q59" s="16">
        <f>[1]Items!Q45</f>
        <v>0</v>
      </c>
      <c r="R59" s="16">
        <f>[1]Items!R45</f>
        <v>0</v>
      </c>
      <c r="S59" s="16">
        <f>[1]Items!S45</f>
        <v>0</v>
      </c>
      <c r="W59">
        <f>IF('Dota 2'!$C$6, (Items!C59+Items!E59)*Items!$X$2, (Items!C59+Items!D59)*Items!$X$2)</f>
        <v>0</v>
      </c>
      <c r="X59">
        <f t="shared" si="0"/>
        <v>0</v>
      </c>
      <c r="Y59">
        <f t="shared" si="1"/>
        <v>0</v>
      </c>
      <c r="Z59">
        <f t="shared" si="2"/>
        <v>0</v>
      </c>
      <c r="AA59">
        <f t="shared" si="3"/>
        <v>0</v>
      </c>
      <c r="AB59">
        <f>('Dota 2'!$H$10/$Z$4) * (1-($Y$9*($AA$2+J59))/($Y$7+$Y$9*ABS($AA$2+J59)) - $Z$4)</f>
        <v>0</v>
      </c>
      <c r="AC59">
        <f>IF('Dota 2'!$C$6, K59*M59*(1-$Z$3)*'Dota 2'!$H$8, K59*L59*(1-$Z$3)*'Dota 2'!$H$8)</f>
        <v>18.529411764705884</v>
      </c>
      <c r="AD59">
        <f>N59*O59*'Dota 2'!$H$10</f>
        <v>0</v>
      </c>
      <c r="AE59" s="2">
        <f t="shared" si="4"/>
        <v>18.529411764705884</v>
      </c>
      <c r="AF59" s="17">
        <f t="shared" si="5"/>
        <v>1.6844919786096257E-2</v>
      </c>
    </row>
    <row r="60" spans="1:32" x14ac:dyDescent="0.25">
      <c r="A60" s="6" t="str">
        <f>[1]Items!$A46</f>
        <v>Crystalys</v>
      </c>
      <c r="B60" s="16" t="str">
        <f>[1]Items!B46</f>
        <v>1950</v>
      </c>
      <c r="C60" s="16" t="str">
        <f>[1]Items!C46</f>
        <v>32</v>
      </c>
      <c r="D60" s="16" t="str">
        <f>[1]Items!D46</f>
        <v>0</v>
      </c>
      <c r="E60" s="16" t="str">
        <f>[1]Items!E46</f>
        <v>0</v>
      </c>
      <c r="F60" s="16" t="str">
        <f>[1]Items!F46</f>
        <v>0</v>
      </c>
      <c r="G60" s="16" t="str">
        <f>[1]Items!G46</f>
        <v>0</v>
      </c>
      <c r="H60" s="16" t="str">
        <f>[1]Items!H46</f>
        <v>0</v>
      </c>
      <c r="I60" s="16" t="str">
        <f>[1]Items!I46</f>
        <v>0</v>
      </c>
      <c r="J60" s="16" t="str">
        <f>[1]Items!J46</f>
        <v>0</v>
      </c>
      <c r="K60" s="16" t="str">
        <f>[1]Items!K46</f>
        <v>0</v>
      </c>
      <c r="L60" s="16" t="str">
        <f>[1]Items!L46</f>
        <v>0</v>
      </c>
      <c r="M60" s="16" t="str">
        <f>[1]Items!M46</f>
        <v>0</v>
      </c>
      <c r="N60" s="16" t="str">
        <f>[1]Items!N46</f>
        <v>1.6</v>
      </c>
      <c r="O60" s="16" t="str">
        <f>[1]Items!O46</f>
        <v>0.3</v>
      </c>
      <c r="P60" s="16" t="str">
        <f>[1]Items!P46</f>
        <v>false</v>
      </c>
      <c r="Q60" s="16">
        <f>[1]Items!Q46</f>
        <v>0</v>
      </c>
      <c r="R60" s="16">
        <f>[1]Items!R46</f>
        <v>0</v>
      </c>
      <c r="S60" s="16">
        <f>[1]Items!S46</f>
        <v>0</v>
      </c>
      <c r="W60">
        <f>IF('Dota 2'!$C$6, (Items!C60+Items!E60)*Items!$X$2, (Items!C60+Items!D60)*Items!$X$2)</f>
        <v>25.43720190779095</v>
      </c>
      <c r="X60">
        <f t="shared" si="0"/>
        <v>0</v>
      </c>
      <c r="Y60">
        <f t="shared" si="1"/>
        <v>0</v>
      </c>
      <c r="Z60">
        <f t="shared" si="2"/>
        <v>0</v>
      </c>
      <c r="AA60">
        <f t="shared" si="3"/>
        <v>0</v>
      </c>
      <c r="AB60">
        <f>('Dota 2'!$H$10/$Z$4) * (1-($Y$9*($AA$2+J60))/($Y$7+$Y$9*ABS($AA$2+J60)) - $Z$4)</f>
        <v>0</v>
      </c>
      <c r="AC60">
        <f>IF('Dota 2'!$C$6, K60*M60*(1-$Z$3)*'Dota 2'!$H$8, K60*L60*(1-$Z$3)*'Dota 2'!$H$8)</f>
        <v>0</v>
      </c>
      <c r="AD60">
        <f>N60*O60*'Dota 2'!$H$10</f>
        <v>76.31160572337042</v>
      </c>
      <c r="AE60" s="2">
        <f t="shared" si="4"/>
        <v>101.74880763116137</v>
      </c>
      <c r="AF60" s="17">
        <f t="shared" si="5"/>
        <v>5.2178875708287879E-2</v>
      </c>
    </row>
    <row r="61" spans="1:32" x14ac:dyDescent="0.25">
      <c r="A61" s="6" t="str">
        <f>[1]Items!$A47</f>
        <v>Maelstrom</v>
      </c>
      <c r="B61" s="16" t="str">
        <f>[1]Items!B47</f>
        <v>2700</v>
      </c>
      <c r="C61" s="16" t="str">
        <f>[1]Items!C47</f>
        <v>24</v>
      </c>
      <c r="D61" s="16" t="str">
        <f>[1]Items!D47</f>
        <v>0</v>
      </c>
      <c r="E61" s="16" t="str">
        <f>[1]Items!E47</f>
        <v>0</v>
      </c>
      <c r="F61" s="16" t="str">
        <f>[1]Items!F47</f>
        <v>0</v>
      </c>
      <c r="G61" s="16" t="str">
        <f>[1]Items!G47</f>
        <v>0</v>
      </c>
      <c r="H61" s="16" t="str">
        <f>[1]Items!H47</f>
        <v>0</v>
      </c>
      <c r="I61" s="16" t="str">
        <f>[1]Items!I47</f>
        <v>0</v>
      </c>
      <c r="J61" s="16" t="str">
        <f>[1]Items!J47</f>
        <v>0</v>
      </c>
      <c r="K61" s="16" t="str">
        <f>[1]Items!K47</f>
        <v>140</v>
      </c>
      <c r="L61" s="16" t="str">
        <f>[1]Items!L47</f>
        <v>0.3</v>
      </c>
      <c r="M61" s="16" t="str">
        <f>[1]Items!M47</f>
        <v>0.3</v>
      </c>
      <c r="N61" s="16" t="str">
        <f>[1]Items!N47</f>
        <v>1</v>
      </c>
      <c r="O61" s="16" t="str">
        <f>[1]Items!O47</f>
        <v>0</v>
      </c>
      <c r="P61" s="16" t="str">
        <f>[1]Items!P47</f>
        <v>false</v>
      </c>
      <c r="Q61" s="16">
        <f>[1]Items!Q47</f>
        <v>0</v>
      </c>
      <c r="R61" s="16">
        <f>[1]Items!R47</f>
        <v>0</v>
      </c>
      <c r="S61" s="16">
        <f>[1]Items!S47</f>
        <v>0</v>
      </c>
      <c r="W61">
        <f>IF('Dota 2'!$C$6, (Items!C61+Items!E61)*Items!$X$2, (Items!C61+Items!D61)*Items!$X$2)</f>
        <v>19.077901430843212</v>
      </c>
      <c r="X61">
        <f t="shared" si="0"/>
        <v>0</v>
      </c>
      <c r="Y61">
        <f t="shared" si="1"/>
        <v>0</v>
      </c>
      <c r="Z61">
        <f t="shared" si="2"/>
        <v>0</v>
      </c>
      <c r="AA61">
        <f t="shared" si="3"/>
        <v>0</v>
      </c>
      <c r="AB61">
        <f>('Dota 2'!$H$10/$Z$4) * (1-($Y$9*($AA$2+J61))/($Y$7+$Y$9*ABS($AA$2+J61)) - $Z$4)</f>
        <v>0</v>
      </c>
      <c r="AC61">
        <f>IF('Dota 2'!$C$6, K61*M61*(1-$Z$3)*'Dota 2'!$H$8, K61*L61*(1-$Z$3)*'Dota 2'!$H$8)</f>
        <v>37.058823529411768</v>
      </c>
      <c r="AD61">
        <f>N61*O61*'Dota 2'!$H$10</f>
        <v>0</v>
      </c>
      <c r="AE61" s="2">
        <f t="shared" si="4"/>
        <v>56.13672496025498</v>
      </c>
      <c r="AF61" s="17">
        <f t="shared" si="5"/>
        <v>2.0791379614909251E-2</v>
      </c>
    </row>
    <row r="62" spans="1:32" x14ac:dyDescent="0.25">
      <c r="A62" s="6" t="str">
        <f>[1]Items!$A48</f>
        <v>Magic Wand</v>
      </c>
      <c r="B62" s="16" t="str">
        <f>[1]Items!B48</f>
        <v>450</v>
      </c>
      <c r="C62" s="16" t="str">
        <f>[1]Items!C48</f>
        <v>0</v>
      </c>
      <c r="D62" s="16" t="str">
        <f>[1]Items!D48</f>
        <v>0</v>
      </c>
      <c r="E62" s="16" t="str">
        <f>[1]Items!E48</f>
        <v>0</v>
      </c>
      <c r="F62" s="16" t="str">
        <f>[1]Items!F48</f>
        <v>0</v>
      </c>
      <c r="G62" s="16" t="str">
        <f>[1]Items!G48</f>
        <v>3</v>
      </c>
      <c r="H62" s="16" t="str">
        <f>[1]Items!H48</f>
        <v>3</v>
      </c>
      <c r="I62" s="16" t="str">
        <f>[1]Items!I48</f>
        <v>3</v>
      </c>
      <c r="J62" s="16" t="str">
        <f>[1]Items!J48</f>
        <v>0</v>
      </c>
      <c r="K62" s="16" t="str">
        <f>[1]Items!K48</f>
        <v>0</v>
      </c>
      <c r="L62" s="16" t="str">
        <f>[1]Items!L48</f>
        <v>0</v>
      </c>
      <c r="M62" s="16" t="str">
        <f>[1]Items!M48</f>
        <v>0</v>
      </c>
      <c r="N62" s="16" t="str">
        <f>[1]Items!N48</f>
        <v>1</v>
      </c>
      <c r="O62" s="16" t="str">
        <f>[1]Items!O48</f>
        <v>0</v>
      </c>
      <c r="P62" s="16" t="str">
        <f>[1]Items!P48</f>
        <v>false</v>
      </c>
      <c r="Q62" s="16">
        <f>[1]Items!Q48</f>
        <v>0</v>
      </c>
      <c r="R62" s="16">
        <f>[1]Items!R48</f>
        <v>0</v>
      </c>
      <c r="S62" s="16">
        <f>[1]Items!S48</f>
        <v>0</v>
      </c>
      <c r="W62">
        <f>IF('Dota 2'!$C$6, (Items!C62+Items!E62)*Items!$X$2, (Items!C62+Items!D62)*Items!$X$2)</f>
        <v>0</v>
      </c>
      <c r="X62">
        <f t="shared" si="0"/>
        <v>0</v>
      </c>
      <c r="Y62">
        <f t="shared" si="1"/>
        <v>0</v>
      </c>
      <c r="Z62">
        <f t="shared" si="2"/>
        <v>4.7694753577108884</v>
      </c>
      <c r="AA62">
        <f t="shared" si="3"/>
        <v>0</v>
      </c>
      <c r="AB62">
        <f>('Dota 2'!$H$10/$Z$4) * (1-($Y$9*($AA$2+J62))/($Y$7+$Y$9*ABS($AA$2+J62)) - $Z$4)</f>
        <v>0</v>
      </c>
      <c r="AC62">
        <f>IF('Dota 2'!$C$6, K62*M62*(1-$Z$3)*'Dota 2'!$H$8, K62*L62*(1-$Z$3)*'Dota 2'!$H$8)</f>
        <v>0</v>
      </c>
      <c r="AD62">
        <f>N62*O62*'Dota 2'!$H$10</f>
        <v>0</v>
      </c>
      <c r="AE62" s="2">
        <f t="shared" si="4"/>
        <v>4.7694753577108884</v>
      </c>
      <c r="AF62" s="17">
        <f t="shared" si="5"/>
        <v>1.0598834128246418E-2</v>
      </c>
    </row>
    <row r="63" spans="1:32" x14ac:dyDescent="0.25">
      <c r="A63" s="6" t="str">
        <f>[1]Items!$A49</f>
        <v>Manta Style</v>
      </c>
      <c r="B63" s="16" t="str">
        <f>[1]Items!B49</f>
        <v>4600</v>
      </c>
      <c r="C63" s="16" t="str">
        <f>[1]Items!C49</f>
        <v>0</v>
      </c>
      <c r="D63" s="16" t="str">
        <f>[1]Items!D49</f>
        <v>0</v>
      </c>
      <c r="E63" s="16" t="str">
        <f>[1]Items!E49</f>
        <v>0</v>
      </c>
      <c r="F63" s="16" t="str">
        <f>[1]Items!F49</f>
        <v>12</v>
      </c>
      <c r="G63" s="16" t="str">
        <f>[1]Items!G49</f>
        <v>10</v>
      </c>
      <c r="H63" s="16" t="str">
        <f>[1]Items!H49</f>
        <v>26</v>
      </c>
      <c r="I63" s="16" t="str">
        <f>[1]Items!I49</f>
        <v>10</v>
      </c>
      <c r="J63" s="16" t="str">
        <f>[1]Items!J49</f>
        <v>0</v>
      </c>
      <c r="K63" s="16" t="str">
        <f>[1]Items!K49</f>
        <v>0</v>
      </c>
      <c r="L63" s="16" t="str">
        <f>[1]Items!L49</f>
        <v>0</v>
      </c>
      <c r="M63" s="16" t="str">
        <f>[1]Items!M49</f>
        <v>0</v>
      </c>
      <c r="N63" s="16" t="str">
        <f>[1]Items!N49</f>
        <v>1</v>
      </c>
      <c r="O63" s="16" t="str">
        <f>[1]Items!O49</f>
        <v>0</v>
      </c>
      <c r="P63" s="16" t="str">
        <f>[1]Items!P49</f>
        <v>false</v>
      </c>
      <c r="Q63" s="16">
        <f>[1]Items!Q49</f>
        <v>0</v>
      </c>
      <c r="R63" s="16">
        <f>[1]Items!R49</f>
        <v>0</v>
      </c>
      <c r="S63" s="16">
        <f>[1]Items!S49</f>
        <v>0</v>
      </c>
      <c r="W63">
        <f>IF('Dota 2'!$C$6, (Items!C63+Items!E63)*Items!$X$2, (Items!C63+Items!D63)*Items!$X$2)</f>
        <v>0</v>
      </c>
      <c r="X63">
        <f t="shared" si="0"/>
        <v>9.5389507154219473</v>
      </c>
      <c r="Y63">
        <f t="shared" si="1"/>
        <v>0</v>
      </c>
      <c r="Z63">
        <f t="shared" si="2"/>
        <v>41.335453100161033</v>
      </c>
      <c r="AA63">
        <f t="shared" si="3"/>
        <v>0</v>
      </c>
      <c r="AB63">
        <f>('Dota 2'!$H$10/$Z$4) * (1-($Y$9*($AA$2+J63))/($Y$7+$Y$9*ABS($AA$2+J63)) - $Z$4)</f>
        <v>0</v>
      </c>
      <c r="AC63">
        <f>IF('Dota 2'!$C$6, K63*M63*(1-$Z$3)*'Dota 2'!$H$8, K63*L63*(1-$Z$3)*'Dota 2'!$H$8)</f>
        <v>0</v>
      </c>
      <c r="AD63">
        <f>N63*O63*'Dota 2'!$H$10</f>
        <v>0</v>
      </c>
      <c r="AE63" s="2">
        <f t="shared" si="4"/>
        <v>50.87440381558298</v>
      </c>
      <c r="AF63" s="17">
        <f t="shared" si="5"/>
        <v>1.1059653003387604E-2</v>
      </c>
    </row>
    <row r="64" spans="1:32" x14ac:dyDescent="0.25">
      <c r="A64" s="6" t="str">
        <f>[1]Items!$A50</f>
        <v>Mantle of Intelligence</v>
      </c>
      <c r="B64" s="16" t="str">
        <f>[1]Items!B50</f>
        <v>140</v>
      </c>
      <c r="C64" s="16" t="str">
        <f>[1]Items!C50</f>
        <v>0</v>
      </c>
      <c r="D64" s="16" t="str">
        <f>[1]Items!D50</f>
        <v>0</v>
      </c>
      <c r="E64" s="16" t="str">
        <f>[1]Items!E50</f>
        <v>0</v>
      </c>
      <c r="F64" s="16" t="str">
        <f>[1]Items!F50</f>
        <v>0</v>
      </c>
      <c r="G64" s="16" t="str">
        <f>[1]Items!G50</f>
        <v>0</v>
      </c>
      <c r="H64" s="16" t="str">
        <f>[1]Items!H50</f>
        <v>0</v>
      </c>
      <c r="I64" s="16" t="str">
        <f>[1]Items!I50</f>
        <v>3</v>
      </c>
      <c r="J64" s="16" t="str">
        <f>[1]Items!J50</f>
        <v>0</v>
      </c>
      <c r="K64" s="16" t="str">
        <f>[1]Items!K50</f>
        <v>0</v>
      </c>
      <c r="L64" s="16" t="str">
        <f>[1]Items!L50</f>
        <v>0</v>
      </c>
      <c r="M64" s="16" t="str">
        <f>[1]Items!M50</f>
        <v>0</v>
      </c>
      <c r="N64" s="16" t="str">
        <f>[1]Items!N50</f>
        <v>1</v>
      </c>
      <c r="O64" s="16" t="str">
        <f>[1]Items!O50</f>
        <v>0</v>
      </c>
      <c r="P64" s="16" t="str">
        <f>[1]Items!P50</f>
        <v>false</v>
      </c>
      <c r="Q64" s="16">
        <f>[1]Items!Q50</f>
        <v>0</v>
      </c>
      <c r="R64" s="16">
        <f>[1]Items!R50</f>
        <v>0</v>
      </c>
      <c r="S64" s="16">
        <f>[1]Items!S50</f>
        <v>0</v>
      </c>
      <c r="W64">
        <f>IF('Dota 2'!$C$6, (Items!C64+Items!E64)*Items!$X$2, (Items!C64+Items!D64)*Items!$X$2)</f>
        <v>0</v>
      </c>
      <c r="X64">
        <f t="shared" si="0"/>
        <v>0</v>
      </c>
      <c r="Y64">
        <f t="shared" si="1"/>
        <v>0</v>
      </c>
      <c r="Z64">
        <f t="shared" si="2"/>
        <v>0</v>
      </c>
      <c r="AA64">
        <f t="shared" si="3"/>
        <v>0</v>
      </c>
      <c r="AB64">
        <f>('Dota 2'!$H$10/$Z$4) * (1-($Y$9*($AA$2+J64))/($Y$7+$Y$9*ABS($AA$2+J64)) - $Z$4)</f>
        <v>0</v>
      </c>
      <c r="AC64">
        <f>IF('Dota 2'!$C$6, K64*M64*(1-$Z$3)*'Dota 2'!$H$8, K64*L64*(1-$Z$3)*'Dota 2'!$H$8)</f>
        <v>0</v>
      </c>
      <c r="AD64">
        <f>N64*O64*'Dota 2'!$H$10</f>
        <v>0</v>
      </c>
      <c r="AE64" s="2">
        <f t="shared" si="4"/>
        <v>0</v>
      </c>
      <c r="AF64" s="17">
        <f t="shared" si="5"/>
        <v>0</v>
      </c>
    </row>
    <row r="65" spans="1:32" x14ac:dyDescent="0.25">
      <c r="A65" s="6" t="str">
        <f>[1]Items!$A51</f>
        <v>Mask of Madness</v>
      </c>
      <c r="B65" s="16" t="str">
        <f>[1]Items!B51</f>
        <v>1775</v>
      </c>
      <c r="C65" s="16" t="str">
        <f>[1]Items!C51</f>
        <v>10</v>
      </c>
      <c r="D65" s="16" t="str">
        <f>[1]Items!D51</f>
        <v>0</v>
      </c>
      <c r="E65" s="16" t="str">
        <f>[1]Items!E51</f>
        <v>0</v>
      </c>
      <c r="F65" s="16" t="str">
        <f>[1]Items!F51</f>
        <v>10</v>
      </c>
      <c r="G65" s="16" t="str">
        <f>[1]Items!G51</f>
        <v>0</v>
      </c>
      <c r="H65" s="16" t="str">
        <f>[1]Items!H51</f>
        <v>0</v>
      </c>
      <c r="I65" s="16" t="str">
        <f>[1]Items!I51</f>
        <v>0</v>
      </c>
      <c r="J65" s="16" t="str">
        <f>[1]Items!J51</f>
        <v>0</v>
      </c>
      <c r="K65" s="16" t="str">
        <f>[1]Items!K51</f>
        <v>0</v>
      </c>
      <c r="L65" s="16" t="str">
        <f>[1]Items!L51</f>
        <v>0</v>
      </c>
      <c r="M65" s="16" t="str">
        <f>[1]Items!M51</f>
        <v>0</v>
      </c>
      <c r="N65" s="16" t="str">
        <f>[1]Items!N51</f>
        <v>1</v>
      </c>
      <c r="O65" s="16" t="str">
        <f>[1]Items!O51</f>
        <v>0</v>
      </c>
      <c r="P65" s="16" t="str">
        <f>[1]Items!P51</f>
        <v>false</v>
      </c>
      <c r="Q65" s="16">
        <f>[1]Items!Q51</f>
        <v>0</v>
      </c>
      <c r="R65" s="16">
        <f>[1]Items!R51</f>
        <v>0</v>
      </c>
      <c r="S65" s="16">
        <f>[1]Items!S51</f>
        <v>0</v>
      </c>
      <c r="W65">
        <f>IF('Dota 2'!$C$6, (Items!C65+Items!E65)*Items!$X$2, (Items!C65+Items!D65)*Items!$X$2)</f>
        <v>7.9491255961846718</v>
      </c>
      <c r="X65">
        <f t="shared" si="0"/>
        <v>7.9491255961849561</v>
      </c>
      <c r="Y65">
        <f t="shared" si="1"/>
        <v>0</v>
      </c>
      <c r="Z65">
        <f t="shared" si="2"/>
        <v>0</v>
      </c>
      <c r="AA65">
        <f t="shared" si="3"/>
        <v>0</v>
      </c>
      <c r="AB65">
        <f>('Dota 2'!$H$10/$Z$4) * (1-($Y$9*($AA$2+J65))/($Y$7+$Y$9*ABS($AA$2+J65)) - $Z$4)</f>
        <v>0</v>
      </c>
      <c r="AC65">
        <f>IF('Dota 2'!$C$6, K65*M65*(1-$Z$3)*'Dota 2'!$H$8, K65*L65*(1-$Z$3)*'Dota 2'!$H$8)</f>
        <v>0</v>
      </c>
      <c r="AD65">
        <f>N65*O65*'Dota 2'!$H$10</f>
        <v>0</v>
      </c>
      <c r="AE65" s="2">
        <f t="shared" si="4"/>
        <v>15.898251192369628</v>
      </c>
      <c r="AF65" s="17">
        <f t="shared" si="5"/>
        <v>8.9567612351378178E-3</v>
      </c>
    </row>
    <row r="66" spans="1:32" x14ac:dyDescent="0.25">
      <c r="A66" s="6" t="str">
        <f>[1]Items!$A52</f>
        <v>Minotaur Horn</v>
      </c>
      <c r="B66" s="16" t="str">
        <f>[1]Items!B52</f>
        <v>0</v>
      </c>
      <c r="C66" s="16" t="str">
        <f>[1]Items!C52</f>
        <v>0</v>
      </c>
      <c r="D66" s="16" t="str">
        <f>[1]Items!D52</f>
        <v>0</v>
      </c>
      <c r="E66" s="16" t="str">
        <f>[1]Items!E52</f>
        <v>0</v>
      </c>
      <c r="F66" s="16" t="str">
        <f>[1]Items!F52</f>
        <v>0</v>
      </c>
      <c r="G66" s="16" t="str">
        <f>[1]Items!G52</f>
        <v>20</v>
      </c>
      <c r="H66" s="16" t="str">
        <f>[1]Items!H52</f>
        <v>0</v>
      </c>
      <c r="I66" s="16" t="str">
        <f>[1]Items!I52</f>
        <v>0</v>
      </c>
      <c r="J66" s="16" t="str">
        <f>[1]Items!J52</f>
        <v>0</v>
      </c>
      <c r="K66" s="16" t="str">
        <f>[1]Items!K52</f>
        <v>0</v>
      </c>
      <c r="L66" s="16" t="str">
        <f>[1]Items!L52</f>
        <v>0</v>
      </c>
      <c r="M66" s="16" t="str">
        <f>[1]Items!M52</f>
        <v>0</v>
      </c>
      <c r="N66" s="16" t="str">
        <f>[1]Items!N52</f>
        <v>1</v>
      </c>
      <c r="O66" s="16" t="str">
        <f>[1]Items!O52</f>
        <v>0</v>
      </c>
      <c r="P66" s="16" t="str">
        <f>[1]Items!P52</f>
        <v>true</v>
      </c>
      <c r="Q66" s="16">
        <f>[1]Items!Q52</f>
        <v>0</v>
      </c>
      <c r="R66" s="16">
        <f>[1]Items!R52</f>
        <v>0</v>
      </c>
      <c r="S66" s="16">
        <f>[1]Items!S52</f>
        <v>0</v>
      </c>
      <c r="W66">
        <f>IF('Dota 2'!$C$6, (Items!C66+Items!E66)*Items!$X$2, (Items!C66+Items!D66)*Items!$X$2)</f>
        <v>0</v>
      </c>
      <c r="X66">
        <f t="shared" si="0"/>
        <v>0</v>
      </c>
      <c r="Y66">
        <f t="shared" si="1"/>
        <v>0</v>
      </c>
      <c r="Z66">
        <f t="shared" si="2"/>
        <v>0</v>
      </c>
      <c r="AA66">
        <f t="shared" si="3"/>
        <v>0</v>
      </c>
      <c r="AB66">
        <f>('Dota 2'!$H$10/$Z$4) * (1-($Y$9*($AA$2+J66))/($Y$7+$Y$9*ABS($AA$2+J66)) - $Z$4)</f>
        <v>0</v>
      </c>
      <c r="AC66">
        <f>IF('Dota 2'!$C$6, K66*M66*(1-$Z$3)*'Dota 2'!$H$8, K66*L66*(1-$Z$3)*'Dota 2'!$H$8)</f>
        <v>0</v>
      </c>
      <c r="AD66">
        <f>N66*O66*'Dota 2'!$H$10</f>
        <v>0</v>
      </c>
      <c r="AE66" s="2">
        <f t="shared" si="4"/>
        <v>0</v>
      </c>
      <c r="AF66" s="17">
        <f t="shared" si="5"/>
        <v>0</v>
      </c>
    </row>
    <row r="67" spans="1:32" x14ac:dyDescent="0.25">
      <c r="A67" s="6" t="str">
        <f>[1]Items!$A53</f>
        <v>Mithril Hammer</v>
      </c>
      <c r="B67" s="16" t="str">
        <f>[1]Items!B53</f>
        <v>1600</v>
      </c>
      <c r="C67" s="16" t="str">
        <f>[1]Items!C53</f>
        <v>24</v>
      </c>
      <c r="D67" s="16" t="str">
        <f>[1]Items!D53</f>
        <v>0</v>
      </c>
      <c r="E67" s="16" t="str">
        <f>[1]Items!E53</f>
        <v>0</v>
      </c>
      <c r="F67" s="16" t="str">
        <f>[1]Items!F53</f>
        <v>0</v>
      </c>
      <c r="G67" s="16" t="str">
        <f>[1]Items!G53</f>
        <v>0</v>
      </c>
      <c r="H67" s="16" t="str">
        <f>[1]Items!H53</f>
        <v>0</v>
      </c>
      <c r="I67" s="16" t="str">
        <f>[1]Items!I53</f>
        <v>0</v>
      </c>
      <c r="J67" s="16" t="str">
        <f>[1]Items!J53</f>
        <v>0</v>
      </c>
      <c r="K67" s="16" t="str">
        <f>[1]Items!K53</f>
        <v>0</v>
      </c>
      <c r="L67" s="16" t="str">
        <f>[1]Items!L53</f>
        <v>0</v>
      </c>
      <c r="M67" s="16" t="str">
        <f>[1]Items!M53</f>
        <v>0</v>
      </c>
      <c r="N67" s="16" t="str">
        <f>[1]Items!N53</f>
        <v>1</v>
      </c>
      <c r="O67" s="16" t="str">
        <f>[1]Items!O53</f>
        <v>0</v>
      </c>
      <c r="P67" s="16" t="str">
        <f>[1]Items!P53</f>
        <v>false</v>
      </c>
      <c r="Q67" s="16">
        <f>[1]Items!Q53</f>
        <v>0</v>
      </c>
      <c r="R67" s="16">
        <f>[1]Items!R53</f>
        <v>0</v>
      </c>
      <c r="S67" s="16">
        <f>[1]Items!S53</f>
        <v>0</v>
      </c>
      <c r="W67">
        <f>IF('Dota 2'!$C$6, (Items!C67+Items!E67)*Items!$X$2, (Items!C67+Items!D67)*Items!$X$2)</f>
        <v>19.077901430843212</v>
      </c>
      <c r="X67">
        <f t="shared" si="0"/>
        <v>0</v>
      </c>
      <c r="Y67">
        <f t="shared" si="1"/>
        <v>0</v>
      </c>
      <c r="Z67">
        <f t="shared" si="2"/>
        <v>0</v>
      </c>
      <c r="AA67">
        <f t="shared" si="3"/>
        <v>0</v>
      </c>
      <c r="AB67">
        <f>('Dota 2'!$H$10/$Z$4) * (1-($Y$9*($AA$2+J67))/($Y$7+$Y$9*ABS($AA$2+J67)) - $Z$4)</f>
        <v>0</v>
      </c>
      <c r="AC67">
        <f>IF('Dota 2'!$C$6, K67*M67*(1-$Z$3)*'Dota 2'!$H$8, K67*L67*(1-$Z$3)*'Dota 2'!$H$8)</f>
        <v>0</v>
      </c>
      <c r="AD67">
        <f>N67*O67*'Dota 2'!$H$10</f>
        <v>0</v>
      </c>
      <c r="AE67" s="2">
        <f t="shared" si="4"/>
        <v>19.077901430843212</v>
      </c>
      <c r="AF67" s="17">
        <f t="shared" si="5"/>
        <v>1.1923688394277009E-2</v>
      </c>
    </row>
    <row r="68" spans="1:32" x14ac:dyDescent="0.25">
      <c r="A68" s="6" t="str">
        <f>[1]Items!$A54</f>
        <v>Mjollnir</v>
      </c>
      <c r="B68" s="16" t="str">
        <f>[1]Items!B54</f>
        <v>5600</v>
      </c>
      <c r="C68" s="16" t="str">
        <f>[1]Items!C54</f>
        <v>24</v>
      </c>
      <c r="D68" s="16" t="str">
        <f>[1]Items!D54</f>
        <v>0</v>
      </c>
      <c r="E68" s="16" t="str">
        <f>[1]Items!E54</f>
        <v>0</v>
      </c>
      <c r="F68" s="16" t="str">
        <f>[1]Items!F54</f>
        <v>70</v>
      </c>
      <c r="G68" s="16" t="str">
        <f>[1]Items!G54</f>
        <v>0</v>
      </c>
      <c r="H68" s="16" t="str">
        <f>[1]Items!H54</f>
        <v>0</v>
      </c>
      <c r="I68" s="16" t="str">
        <f>[1]Items!I54</f>
        <v>0</v>
      </c>
      <c r="J68" s="16" t="str">
        <f>[1]Items!J54</f>
        <v>0</v>
      </c>
      <c r="K68" s="16" t="str">
        <f>[1]Items!K54</f>
        <v>180</v>
      </c>
      <c r="L68" s="16" t="str">
        <f>[1]Items!L54</f>
        <v>0.3</v>
      </c>
      <c r="M68" s="16" t="str">
        <f>[1]Items!M54</f>
        <v>0.3</v>
      </c>
      <c r="N68" s="16" t="str">
        <f>[1]Items!N54</f>
        <v>1</v>
      </c>
      <c r="O68" s="16" t="str">
        <f>[1]Items!O54</f>
        <v>0</v>
      </c>
      <c r="P68" s="16" t="str">
        <f>[1]Items!P54</f>
        <v>false</v>
      </c>
      <c r="Q68" s="16">
        <f>[1]Items!Q54</f>
        <v>0</v>
      </c>
      <c r="R68" s="16">
        <f>[1]Items!R54</f>
        <v>0</v>
      </c>
      <c r="S68" s="16">
        <f>[1]Items!S54</f>
        <v>0</v>
      </c>
      <c r="W68">
        <f>IF('Dota 2'!$C$6, (Items!C68+Items!E68)*Items!$X$2, (Items!C68+Items!D68)*Items!$X$2)</f>
        <v>19.077901430843212</v>
      </c>
      <c r="X68">
        <f t="shared" si="0"/>
        <v>55.643879173294692</v>
      </c>
      <c r="Y68">
        <f t="shared" si="1"/>
        <v>0</v>
      </c>
      <c r="Z68">
        <f t="shared" si="2"/>
        <v>0</v>
      </c>
      <c r="AA68">
        <f t="shared" si="3"/>
        <v>0</v>
      </c>
      <c r="AB68">
        <f>('Dota 2'!$H$10/$Z$4) * (1-($Y$9*($AA$2+J68))/($Y$7+$Y$9*ABS($AA$2+J68)) - $Z$4)</f>
        <v>0</v>
      </c>
      <c r="AC68">
        <f>IF('Dota 2'!$C$6, K68*M68*(1-$Z$3)*'Dota 2'!$H$8, K68*L68*(1-$Z$3)*'Dota 2'!$H$8)</f>
        <v>47.647058823529413</v>
      </c>
      <c r="AD68">
        <f>N68*O68*'Dota 2'!$H$10</f>
        <v>0</v>
      </c>
      <c r="AE68" s="2">
        <f t="shared" si="4"/>
        <v>122.36883942766733</v>
      </c>
      <c r="AF68" s="17">
        <f t="shared" si="5"/>
        <v>2.1851578469226307E-2</v>
      </c>
    </row>
    <row r="69" spans="1:32" x14ac:dyDescent="0.25">
      <c r="A69" s="6" t="str">
        <f>[1]Items!$A55</f>
        <v>Monkey King Bar</v>
      </c>
      <c r="B69" s="16" t="str">
        <f>[1]Items!B55</f>
        <v>4975</v>
      </c>
      <c r="C69" s="16" t="str">
        <f>[1]Items!C55</f>
        <v>40</v>
      </c>
      <c r="D69" s="16" t="str">
        <f>[1]Items!D55</f>
        <v>0</v>
      </c>
      <c r="E69" s="16" t="str">
        <f>[1]Items!E55</f>
        <v>0</v>
      </c>
      <c r="F69" s="16" t="str">
        <f>[1]Items!F55</f>
        <v>45</v>
      </c>
      <c r="G69" s="16" t="str">
        <f>[1]Items!G55</f>
        <v>0</v>
      </c>
      <c r="H69" s="16" t="str">
        <f>[1]Items!H55</f>
        <v>0</v>
      </c>
      <c r="I69" s="16" t="str">
        <f>[1]Items!I55</f>
        <v>0</v>
      </c>
      <c r="J69" s="16" t="str">
        <f>[1]Items!J55</f>
        <v>0</v>
      </c>
      <c r="K69" s="16" t="str">
        <f>[1]Items!K55</f>
        <v>70</v>
      </c>
      <c r="L69" s="16" t="str">
        <f>[1]Items!L55</f>
        <v>0.8</v>
      </c>
      <c r="M69" s="16" t="str">
        <f>[1]Items!M55</f>
        <v>0.8</v>
      </c>
      <c r="N69" s="16" t="str">
        <f>[1]Items!N55</f>
        <v>1</v>
      </c>
      <c r="O69" s="16" t="str">
        <f>[1]Items!O55</f>
        <v>0</v>
      </c>
      <c r="P69" s="16" t="str">
        <f>[1]Items!P55</f>
        <v>false</v>
      </c>
      <c r="Q69" s="16">
        <f>[1]Items!Q55</f>
        <v>0</v>
      </c>
      <c r="R69" s="16">
        <f>[1]Items!R55</f>
        <v>0</v>
      </c>
      <c r="S69" s="16">
        <f>[1]Items!S55</f>
        <v>0</v>
      </c>
      <c r="W69">
        <f>IF('Dota 2'!$C$6, (Items!C69+Items!E69)*Items!$X$2, (Items!C69+Items!D69)*Items!$X$2)</f>
        <v>31.796502384738687</v>
      </c>
      <c r="X69">
        <f t="shared" si="0"/>
        <v>35.771065182832302</v>
      </c>
      <c r="Y69">
        <f t="shared" si="1"/>
        <v>0</v>
      </c>
      <c r="Z69">
        <f t="shared" si="2"/>
        <v>0</v>
      </c>
      <c r="AA69">
        <f t="shared" si="3"/>
        <v>0</v>
      </c>
      <c r="AB69">
        <f>('Dota 2'!$H$10/$Z$4) * (1-($Y$9*($AA$2+J69))/($Y$7+$Y$9*ABS($AA$2+J69)) - $Z$4)</f>
        <v>0</v>
      </c>
      <c r="AC69">
        <f>IF('Dota 2'!$C$6, K69*M69*(1-$Z$3)*'Dota 2'!$H$8, K69*L69*(1-$Z$3)*'Dota 2'!$H$8)</f>
        <v>49.411764705882355</v>
      </c>
      <c r="AD69">
        <f>N69*O69*'Dota 2'!$H$10</f>
        <v>0</v>
      </c>
      <c r="AE69" s="2">
        <f t="shared" si="4"/>
        <v>116.97933227345334</v>
      </c>
      <c r="AF69" s="17">
        <f t="shared" si="5"/>
        <v>2.351343362280469E-2</v>
      </c>
    </row>
    <row r="70" spans="1:32" x14ac:dyDescent="0.25">
      <c r="A70" s="6" t="str">
        <f>[1]Items!$A56</f>
        <v>Moon Shard</v>
      </c>
      <c r="B70" s="16" t="str">
        <f>[1]Items!B56</f>
        <v>4000</v>
      </c>
      <c r="C70" s="16" t="str">
        <f>[1]Items!C56</f>
        <v>0</v>
      </c>
      <c r="D70" s="16" t="str">
        <f>[1]Items!D56</f>
        <v>0</v>
      </c>
      <c r="E70" s="16" t="str">
        <f>[1]Items!E56</f>
        <v>0</v>
      </c>
      <c r="F70" s="16" t="str">
        <f>[1]Items!F56</f>
        <v>140</v>
      </c>
      <c r="G70" s="16" t="str">
        <f>[1]Items!G56</f>
        <v>0</v>
      </c>
      <c r="H70" s="16" t="str">
        <f>[1]Items!H56</f>
        <v>0</v>
      </c>
      <c r="I70" s="16" t="str">
        <f>[1]Items!I56</f>
        <v>0</v>
      </c>
      <c r="J70" s="16" t="str">
        <f>[1]Items!J56</f>
        <v>0</v>
      </c>
      <c r="K70" s="16" t="str">
        <f>[1]Items!K56</f>
        <v>0</v>
      </c>
      <c r="L70" s="16" t="str">
        <f>[1]Items!L56</f>
        <v>0</v>
      </c>
      <c r="M70" s="16" t="str">
        <f>[1]Items!M56</f>
        <v>0</v>
      </c>
      <c r="N70" s="16" t="str">
        <f>[1]Items!N56</f>
        <v>1</v>
      </c>
      <c r="O70" s="16" t="str">
        <f>[1]Items!O56</f>
        <v>0</v>
      </c>
      <c r="P70" s="16" t="str">
        <f>[1]Items!P56</f>
        <v>false</v>
      </c>
      <c r="Q70" s="16">
        <f>[1]Items!Q56</f>
        <v>0</v>
      </c>
      <c r="R70" s="16">
        <f>[1]Items!R56</f>
        <v>0</v>
      </c>
      <c r="S70" s="16">
        <f>[1]Items!S56</f>
        <v>0</v>
      </c>
      <c r="W70">
        <f>IF('Dota 2'!$C$6, (Items!C70+Items!E70)*Items!$X$2, (Items!C70+Items!D70)*Items!$X$2)</f>
        <v>0</v>
      </c>
      <c r="X70">
        <f t="shared" si="0"/>
        <v>111.28775834658938</v>
      </c>
      <c r="Y70">
        <f t="shared" si="1"/>
        <v>0</v>
      </c>
      <c r="Z70">
        <f t="shared" si="2"/>
        <v>0</v>
      </c>
      <c r="AA70">
        <f t="shared" si="3"/>
        <v>0</v>
      </c>
      <c r="AB70">
        <f>('Dota 2'!$H$10/$Z$4) * (1-($Y$9*($AA$2+J70))/($Y$7+$Y$9*ABS($AA$2+J70)) - $Z$4)</f>
        <v>0</v>
      </c>
      <c r="AC70">
        <f>IF('Dota 2'!$C$6, K70*M70*(1-$Z$3)*'Dota 2'!$H$8, K70*L70*(1-$Z$3)*'Dota 2'!$H$8)</f>
        <v>0</v>
      </c>
      <c r="AD70">
        <f>N70*O70*'Dota 2'!$H$10</f>
        <v>0</v>
      </c>
      <c r="AE70" s="2">
        <f t="shared" si="4"/>
        <v>111.28775834658938</v>
      </c>
      <c r="AF70" s="17">
        <f t="shared" si="5"/>
        <v>2.7821939586647346E-2</v>
      </c>
    </row>
    <row r="71" spans="1:32" x14ac:dyDescent="0.25">
      <c r="A71" s="6" t="str">
        <f>[1]Items!$A57</f>
        <v>Mystic Staff</v>
      </c>
      <c r="B71" s="16" t="str">
        <f>[1]Items!B57</f>
        <v>2800</v>
      </c>
      <c r="C71" s="16" t="str">
        <f>[1]Items!C57</f>
        <v>0</v>
      </c>
      <c r="D71" s="16" t="str">
        <f>[1]Items!D57</f>
        <v>0</v>
      </c>
      <c r="E71" s="16" t="str">
        <f>[1]Items!E57</f>
        <v>0</v>
      </c>
      <c r="F71" s="16" t="str">
        <f>[1]Items!F57</f>
        <v>0</v>
      </c>
      <c r="G71" s="16" t="str">
        <f>[1]Items!G57</f>
        <v>0</v>
      </c>
      <c r="H71" s="16" t="str">
        <f>[1]Items!H57</f>
        <v>0</v>
      </c>
      <c r="I71" s="16" t="str">
        <f>[1]Items!I57</f>
        <v>25</v>
      </c>
      <c r="J71" s="16" t="str">
        <f>[1]Items!J57</f>
        <v>0</v>
      </c>
      <c r="K71" s="16" t="str">
        <f>[1]Items!K57</f>
        <v>0</v>
      </c>
      <c r="L71" s="16" t="str">
        <f>[1]Items!L57</f>
        <v>0</v>
      </c>
      <c r="M71" s="16" t="str">
        <f>[1]Items!M57</f>
        <v>0</v>
      </c>
      <c r="N71" s="16" t="str">
        <f>[1]Items!N57</f>
        <v>1</v>
      </c>
      <c r="O71" s="16" t="str">
        <f>[1]Items!O57</f>
        <v>0</v>
      </c>
      <c r="P71" s="16" t="str">
        <f>[1]Items!P57</f>
        <v>false</v>
      </c>
      <c r="Q71" s="16">
        <f>[1]Items!Q57</f>
        <v>0</v>
      </c>
      <c r="R71" s="16">
        <f>[1]Items!R57</f>
        <v>0</v>
      </c>
      <c r="S71" s="16">
        <f>[1]Items!S57</f>
        <v>0</v>
      </c>
      <c r="W71">
        <f>IF('Dota 2'!$C$6, (Items!C71+Items!E71)*Items!$X$2, (Items!C71+Items!D71)*Items!$X$2)</f>
        <v>0</v>
      </c>
      <c r="X71">
        <f t="shared" si="0"/>
        <v>0</v>
      </c>
      <c r="Y71">
        <f t="shared" si="1"/>
        <v>0</v>
      </c>
      <c r="Z71">
        <f t="shared" si="2"/>
        <v>0</v>
      </c>
      <c r="AA71">
        <f t="shared" si="3"/>
        <v>0</v>
      </c>
      <c r="AB71">
        <f>('Dota 2'!$H$10/$Z$4) * (1-($Y$9*($AA$2+J71))/($Y$7+$Y$9*ABS($AA$2+J71)) - $Z$4)</f>
        <v>0</v>
      </c>
      <c r="AC71">
        <f>IF('Dota 2'!$C$6, K71*M71*(1-$Z$3)*'Dota 2'!$H$8, K71*L71*(1-$Z$3)*'Dota 2'!$H$8)</f>
        <v>0</v>
      </c>
      <c r="AD71">
        <f>N71*O71*'Dota 2'!$H$10</f>
        <v>0</v>
      </c>
      <c r="AE71" s="2">
        <f t="shared" si="4"/>
        <v>0</v>
      </c>
      <c r="AF71" s="17">
        <f t="shared" si="5"/>
        <v>0</v>
      </c>
    </row>
    <row r="72" spans="1:32" x14ac:dyDescent="0.25">
      <c r="A72" s="6" t="str">
        <f>[1]Items!$A58</f>
        <v>Nullifier</v>
      </c>
      <c r="B72" s="16" t="str">
        <f>[1]Items!B58</f>
        <v>4725</v>
      </c>
      <c r="C72" s="16" t="str">
        <f>[1]Items!C58</f>
        <v>80</v>
      </c>
      <c r="D72" s="16" t="str">
        <f>[1]Items!D58</f>
        <v>0</v>
      </c>
      <c r="E72" s="16" t="str">
        <f>[1]Items!E58</f>
        <v>0</v>
      </c>
      <c r="F72" s="16" t="str">
        <f>[1]Items!F58</f>
        <v>0</v>
      </c>
      <c r="G72" s="16" t="str">
        <f>[1]Items!G58</f>
        <v>0</v>
      </c>
      <c r="H72" s="16" t="str">
        <f>[1]Items!H58</f>
        <v>0</v>
      </c>
      <c r="I72" s="16" t="str">
        <f>[1]Items!I58</f>
        <v>0</v>
      </c>
      <c r="J72" s="16" t="str">
        <f>[1]Items!J58</f>
        <v>0</v>
      </c>
      <c r="K72" s="16" t="str">
        <f>[1]Items!K58</f>
        <v>0</v>
      </c>
      <c r="L72" s="16" t="str">
        <f>[1]Items!L58</f>
        <v>0</v>
      </c>
      <c r="M72" s="16" t="str">
        <f>[1]Items!M58</f>
        <v>0</v>
      </c>
      <c r="N72" s="16" t="str">
        <f>[1]Items!N58</f>
        <v>1</v>
      </c>
      <c r="O72" s="16" t="str">
        <f>[1]Items!O58</f>
        <v>0</v>
      </c>
      <c r="P72" s="16" t="str">
        <f>[1]Items!P58</f>
        <v>false</v>
      </c>
      <c r="Q72" s="16">
        <f>[1]Items!Q58</f>
        <v>0</v>
      </c>
      <c r="R72" s="16">
        <f>[1]Items!R58</f>
        <v>0</v>
      </c>
      <c r="S72" s="16">
        <f>[1]Items!S58</f>
        <v>0</v>
      </c>
      <c r="W72">
        <f>IF('Dota 2'!$C$6, (Items!C72+Items!E72)*Items!$X$2, (Items!C72+Items!D72)*Items!$X$2)</f>
        <v>63.593004769477375</v>
      </c>
      <c r="X72">
        <f t="shared" si="0"/>
        <v>0</v>
      </c>
      <c r="Y72">
        <f t="shared" si="1"/>
        <v>0</v>
      </c>
      <c r="Z72">
        <f t="shared" si="2"/>
        <v>0</v>
      </c>
      <c r="AA72">
        <f t="shared" si="3"/>
        <v>0</v>
      </c>
      <c r="AB72">
        <f>('Dota 2'!$H$10/$Z$4) * (1-($Y$9*($AA$2+J72))/($Y$7+$Y$9*ABS($AA$2+J72)) - $Z$4)</f>
        <v>0</v>
      </c>
      <c r="AC72">
        <f>IF('Dota 2'!$C$6, K72*M72*(1-$Z$3)*'Dota 2'!$H$8, K72*L72*(1-$Z$3)*'Dota 2'!$H$8)</f>
        <v>0</v>
      </c>
      <c r="AD72">
        <f>N72*O72*'Dota 2'!$H$10</f>
        <v>0</v>
      </c>
      <c r="AE72" s="2">
        <f t="shared" si="4"/>
        <v>63.593004769477375</v>
      </c>
      <c r="AF72" s="17">
        <f t="shared" si="5"/>
        <v>1.345883698824918E-2</v>
      </c>
    </row>
    <row r="73" spans="1:32" x14ac:dyDescent="0.25">
      <c r="A73" s="6" t="str">
        <f>[1]Items!$A59</f>
        <v>Oblivion Staff</v>
      </c>
      <c r="B73" s="16" t="str">
        <f>[1]Items!B59</f>
        <v>1500</v>
      </c>
      <c r="C73" s="16" t="str">
        <f>[1]Items!C59</f>
        <v>15</v>
      </c>
      <c r="D73" s="16" t="str">
        <f>[1]Items!D59</f>
        <v>0</v>
      </c>
      <c r="E73" s="16" t="str">
        <f>[1]Items!E59</f>
        <v>0</v>
      </c>
      <c r="F73" s="16" t="str">
        <f>[1]Items!F59</f>
        <v>10</v>
      </c>
      <c r="G73" s="16" t="str">
        <f>[1]Items!G59</f>
        <v>0</v>
      </c>
      <c r="H73" s="16" t="str">
        <f>[1]Items!H59</f>
        <v>0</v>
      </c>
      <c r="I73" s="16" t="str">
        <f>[1]Items!I59</f>
        <v>10</v>
      </c>
      <c r="J73" s="16" t="str">
        <f>[1]Items!J59</f>
        <v>0</v>
      </c>
      <c r="K73" s="16" t="str">
        <f>[1]Items!K59</f>
        <v>0</v>
      </c>
      <c r="L73" s="16" t="str">
        <f>[1]Items!L59</f>
        <v>0</v>
      </c>
      <c r="M73" s="16" t="str">
        <f>[1]Items!M59</f>
        <v>0</v>
      </c>
      <c r="N73" s="16" t="str">
        <f>[1]Items!N59</f>
        <v>1</v>
      </c>
      <c r="O73" s="16" t="str">
        <f>[1]Items!O59</f>
        <v>0</v>
      </c>
      <c r="P73" s="16" t="str">
        <f>[1]Items!P59</f>
        <v>false</v>
      </c>
      <c r="Q73" s="16">
        <f>[1]Items!Q59</f>
        <v>0</v>
      </c>
      <c r="R73" s="16">
        <f>[1]Items!R59</f>
        <v>0</v>
      </c>
      <c r="S73" s="16">
        <f>[1]Items!S59</f>
        <v>0</v>
      </c>
      <c r="W73">
        <f>IF('Dota 2'!$C$6, (Items!C73+Items!E73)*Items!$X$2, (Items!C73+Items!D73)*Items!$X$2)</f>
        <v>11.923688394277008</v>
      </c>
      <c r="X73">
        <f t="shared" si="0"/>
        <v>7.9491255961849561</v>
      </c>
      <c r="Y73">
        <f t="shared" si="1"/>
        <v>0</v>
      </c>
      <c r="Z73">
        <f t="shared" si="2"/>
        <v>0</v>
      </c>
      <c r="AA73">
        <f t="shared" si="3"/>
        <v>0</v>
      </c>
      <c r="AB73">
        <f>('Dota 2'!$H$10/$Z$4) * (1-($Y$9*($AA$2+J73))/($Y$7+$Y$9*ABS($AA$2+J73)) - $Z$4)</f>
        <v>0</v>
      </c>
      <c r="AC73">
        <f>IF('Dota 2'!$C$6, K73*M73*(1-$Z$3)*'Dota 2'!$H$8, K73*L73*(1-$Z$3)*'Dota 2'!$H$8)</f>
        <v>0</v>
      </c>
      <c r="AD73">
        <f>N73*O73*'Dota 2'!$H$10</f>
        <v>0</v>
      </c>
      <c r="AE73" s="2">
        <f t="shared" si="4"/>
        <v>19.872813990461964</v>
      </c>
      <c r="AF73" s="17">
        <f t="shared" si="5"/>
        <v>1.3248542660307975E-2</v>
      </c>
    </row>
    <row r="74" spans="1:32" x14ac:dyDescent="0.25">
      <c r="A74" s="6" t="str">
        <f>[1]Items!$A60</f>
        <v>Ogre Axe</v>
      </c>
      <c r="B74" s="16" t="str">
        <f>[1]Items!B60</f>
        <v>1000</v>
      </c>
      <c r="C74" s="16" t="str">
        <f>[1]Items!C60</f>
        <v>0</v>
      </c>
      <c r="D74" s="16" t="str">
        <f>[1]Items!D60</f>
        <v>0</v>
      </c>
      <c r="E74" s="16" t="str">
        <f>[1]Items!E60</f>
        <v>0</v>
      </c>
      <c r="F74" s="16" t="str">
        <f>[1]Items!F60</f>
        <v>0</v>
      </c>
      <c r="G74" s="16" t="str">
        <f>[1]Items!G60</f>
        <v>10</v>
      </c>
      <c r="H74" s="16" t="str">
        <f>[1]Items!H60</f>
        <v>0</v>
      </c>
      <c r="I74" s="16" t="str">
        <f>[1]Items!I60</f>
        <v>0</v>
      </c>
      <c r="J74" s="16" t="str">
        <f>[1]Items!J60</f>
        <v>0</v>
      </c>
      <c r="K74" s="16" t="str">
        <f>[1]Items!K60</f>
        <v>0</v>
      </c>
      <c r="L74" s="16" t="str">
        <f>[1]Items!L60</f>
        <v>0</v>
      </c>
      <c r="M74" s="16" t="str">
        <f>[1]Items!M60</f>
        <v>0</v>
      </c>
      <c r="N74" s="16" t="str">
        <f>[1]Items!N60</f>
        <v>1</v>
      </c>
      <c r="O74" s="16" t="str">
        <f>[1]Items!O60</f>
        <v>0</v>
      </c>
      <c r="P74" s="16" t="str">
        <f>[1]Items!P60</f>
        <v>false</v>
      </c>
      <c r="Q74" s="16">
        <f>[1]Items!Q60</f>
        <v>0</v>
      </c>
      <c r="R74" s="16">
        <f>[1]Items!R60</f>
        <v>0</v>
      </c>
      <c r="S74" s="16">
        <f>[1]Items!S60</f>
        <v>0</v>
      </c>
      <c r="W74">
        <f>IF('Dota 2'!$C$6, (Items!C74+Items!E74)*Items!$X$2, (Items!C74+Items!D74)*Items!$X$2)</f>
        <v>0</v>
      </c>
      <c r="X74">
        <f t="shared" si="0"/>
        <v>0</v>
      </c>
      <c r="Y74">
        <f t="shared" si="1"/>
        <v>0</v>
      </c>
      <c r="Z74">
        <f t="shared" si="2"/>
        <v>0</v>
      </c>
      <c r="AA74">
        <f t="shared" si="3"/>
        <v>0</v>
      </c>
      <c r="AB74">
        <f>('Dota 2'!$H$10/$Z$4) * (1-($Y$9*($AA$2+J74))/($Y$7+$Y$9*ABS($AA$2+J74)) - $Z$4)</f>
        <v>0</v>
      </c>
      <c r="AC74">
        <f>IF('Dota 2'!$C$6, K74*M74*(1-$Z$3)*'Dota 2'!$H$8, K74*L74*(1-$Z$3)*'Dota 2'!$H$8)</f>
        <v>0</v>
      </c>
      <c r="AD74">
        <f>N74*O74*'Dota 2'!$H$10</f>
        <v>0</v>
      </c>
      <c r="AE74" s="2">
        <f t="shared" si="4"/>
        <v>0</v>
      </c>
      <c r="AF74" s="17">
        <f t="shared" si="5"/>
        <v>0</v>
      </c>
    </row>
    <row r="75" spans="1:32" x14ac:dyDescent="0.25">
      <c r="A75" s="6" t="str">
        <f>[1]Items!$A61</f>
        <v>Orb of Corrosion</v>
      </c>
      <c r="B75" s="16" t="str">
        <f>[1]Items!B61</f>
        <v>925</v>
      </c>
      <c r="C75" s="16" t="str">
        <f>[1]Items!C61</f>
        <v>0</v>
      </c>
      <c r="D75" s="16" t="str">
        <f>[1]Items!D61</f>
        <v>0</v>
      </c>
      <c r="E75" s="16" t="str">
        <f>[1]Items!E61</f>
        <v>0</v>
      </c>
      <c r="F75" s="16" t="str">
        <f>[1]Items!F61</f>
        <v>0</v>
      </c>
      <c r="G75" s="16" t="str">
        <f>[1]Items!G61</f>
        <v>0</v>
      </c>
      <c r="H75" s="16" t="str">
        <f>[1]Items!H61</f>
        <v>0</v>
      </c>
      <c r="I75" s="16" t="str">
        <f>[1]Items!I61</f>
        <v>0</v>
      </c>
      <c r="J75" s="16" t="str">
        <f>[1]Items!J61</f>
        <v>-3</v>
      </c>
      <c r="K75" s="16" t="str">
        <f>[1]Items!K61</f>
        <v>0</v>
      </c>
      <c r="L75" s="16" t="str">
        <f>[1]Items!L61</f>
        <v>0</v>
      </c>
      <c r="M75" s="16" t="str">
        <f>[1]Items!M61</f>
        <v>0</v>
      </c>
      <c r="N75" s="16" t="str">
        <f>[1]Items!N61</f>
        <v>1</v>
      </c>
      <c r="O75" s="16" t="str">
        <f>[1]Items!O61</f>
        <v>0</v>
      </c>
      <c r="P75" s="16" t="str">
        <f>[1]Items!P61</f>
        <v>false</v>
      </c>
      <c r="Q75" s="16">
        <f>[1]Items!Q61</f>
        <v>0</v>
      </c>
      <c r="R75" s="16">
        <f>[1]Items!R61</f>
        <v>0</v>
      </c>
      <c r="S75" s="16">
        <f>[1]Items!S61</f>
        <v>0</v>
      </c>
      <c r="W75">
        <f>IF('Dota 2'!$C$6, (Items!C75+Items!E75)*Items!$X$2, (Items!C75+Items!D75)*Items!$X$2)</f>
        <v>0</v>
      </c>
      <c r="X75">
        <f t="shared" si="0"/>
        <v>0</v>
      </c>
      <c r="Y75">
        <f t="shared" si="1"/>
        <v>0</v>
      </c>
      <c r="Z75">
        <f t="shared" si="2"/>
        <v>0</v>
      </c>
      <c r="AA75">
        <f t="shared" si="3"/>
        <v>0</v>
      </c>
      <c r="AB75">
        <f>('Dota 2'!$H$10/$Z$4) * (1-($Y$9*($AA$2+J75))/($Y$7+$Y$9*ABS($AA$2+J75)) - $Z$4)</f>
        <v>22.01296318943379</v>
      </c>
      <c r="AC75">
        <f>IF('Dota 2'!$C$6, K75*M75*(1-$Z$3)*'Dota 2'!$H$8, K75*L75*(1-$Z$3)*'Dota 2'!$H$8)</f>
        <v>0</v>
      </c>
      <c r="AD75">
        <f>N75*O75*'Dota 2'!$H$10</f>
        <v>0</v>
      </c>
      <c r="AE75" s="2">
        <f t="shared" si="4"/>
        <v>22.01296318943379</v>
      </c>
      <c r="AF75" s="17">
        <f t="shared" si="5"/>
        <v>2.3797798042631126E-2</v>
      </c>
    </row>
    <row r="76" spans="1:32" x14ac:dyDescent="0.25">
      <c r="A76" s="6" t="str">
        <f>[1]Items!$A62</f>
        <v>Overwhelming Blink</v>
      </c>
      <c r="B76" s="16" t="str">
        <f>[1]Items!B62</f>
        <v>6800</v>
      </c>
      <c r="C76" s="16" t="str">
        <f>[1]Items!C62</f>
        <v>0</v>
      </c>
      <c r="D76" s="16" t="str">
        <f>[1]Items!D62</f>
        <v>0</v>
      </c>
      <c r="E76" s="16" t="str">
        <f>[1]Items!E62</f>
        <v>0</v>
      </c>
      <c r="F76" s="16" t="str">
        <f>[1]Items!F62</f>
        <v>0</v>
      </c>
      <c r="G76" s="16" t="str">
        <f>[1]Items!G62</f>
        <v>25</v>
      </c>
      <c r="H76" s="16" t="str">
        <f>[1]Items!H62</f>
        <v>0</v>
      </c>
      <c r="I76" s="16" t="str">
        <f>[1]Items!I62</f>
        <v>0</v>
      </c>
      <c r="J76" s="16" t="str">
        <f>[1]Items!J62</f>
        <v>0</v>
      </c>
      <c r="K76" s="16" t="str">
        <f>[1]Items!K62</f>
        <v>0</v>
      </c>
      <c r="L76" s="16" t="str">
        <f>[1]Items!L62</f>
        <v>0</v>
      </c>
      <c r="M76" s="16" t="str">
        <f>[1]Items!M62</f>
        <v>0</v>
      </c>
      <c r="N76" s="16" t="str">
        <f>[1]Items!N62</f>
        <v>1</v>
      </c>
      <c r="O76" s="16" t="str">
        <f>[1]Items!O62</f>
        <v>0</v>
      </c>
      <c r="P76" s="16" t="str">
        <f>[1]Items!P62</f>
        <v>false</v>
      </c>
      <c r="Q76" s="16">
        <f>[1]Items!Q62</f>
        <v>0</v>
      </c>
      <c r="R76" s="16">
        <f>[1]Items!R62</f>
        <v>0</v>
      </c>
      <c r="S76" s="16">
        <f>[1]Items!S62</f>
        <v>0</v>
      </c>
      <c r="W76">
        <f>IF('Dota 2'!$C$6, (Items!C76+Items!E76)*Items!$X$2, (Items!C76+Items!D76)*Items!$X$2)</f>
        <v>0</v>
      </c>
      <c r="X76">
        <f t="shared" si="0"/>
        <v>0</v>
      </c>
      <c r="Y76">
        <f t="shared" si="1"/>
        <v>0</v>
      </c>
      <c r="Z76">
        <f t="shared" si="2"/>
        <v>0</v>
      </c>
      <c r="AA76">
        <f t="shared" si="3"/>
        <v>0</v>
      </c>
      <c r="AB76">
        <f>('Dota 2'!$H$10/$Z$4) * (1-($Y$9*($AA$2+J76))/($Y$7+$Y$9*ABS($AA$2+J76)) - $Z$4)</f>
        <v>0</v>
      </c>
      <c r="AC76">
        <f>IF('Dota 2'!$C$6, K76*M76*(1-$Z$3)*'Dota 2'!$H$8, K76*L76*(1-$Z$3)*'Dota 2'!$H$8)</f>
        <v>0</v>
      </c>
      <c r="AD76">
        <f>N76*O76*'Dota 2'!$H$10</f>
        <v>0</v>
      </c>
      <c r="AE76" s="2">
        <f t="shared" si="4"/>
        <v>0</v>
      </c>
      <c r="AF76" s="17">
        <f t="shared" si="5"/>
        <v>0</v>
      </c>
    </row>
    <row r="77" spans="1:32" x14ac:dyDescent="0.25">
      <c r="A77" s="6" t="str">
        <f>[1]Items!$A63</f>
        <v>Phase Boots</v>
      </c>
      <c r="B77" s="16" t="str">
        <f>[1]Items!B63</f>
        <v>1500</v>
      </c>
      <c r="C77" s="16" t="str">
        <f>[1]Items!C63</f>
        <v>0</v>
      </c>
      <c r="D77" s="16" t="str">
        <f>[1]Items!D63</f>
        <v>18</v>
      </c>
      <c r="E77" s="16" t="str">
        <f>[1]Items!E63</f>
        <v>12</v>
      </c>
      <c r="F77" s="16" t="str">
        <f>[1]Items!F63</f>
        <v>0</v>
      </c>
      <c r="G77" s="16" t="str">
        <f>[1]Items!G63</f>
        <v>0</v>
      </c>
      <c r="H77" s="16" t="str">
        <f>[1]Items!H63</f>
        <v>0</v>
      </c>
      <c r="I77" s="16" t="str">
        <f>[1]Items!I63</f>
        <v>0</v>
      </c>
      <c r="J77" s="16" t="str">
        <f>[1]Items!J63</f>
        <v>0</v>
      </c>
      <c r="K77" s="16" t="str">
        <f>[1]Items!K63</f>
        <v>0</v>
      </c>
      <c r="L77" s="16" t="str">
        <f>[1]Items!L63</f>
        <v>0</v>
      </c>
      <c r="M77" s="16" t="str">
        <f>[1]Items!M63</f>
        <v>0</v>
      </c>
      <c r="N77" s="16" t="str">
        <f>[1]Items!N63</f>
        <v>1</v>
      </c>
      <c r="O77" s="16" t="str">
        <f>[1]Items!O63</f>
        <v>0</v>
      </c>
      <c r="P77" s="16" t="str">
        <f>[1]Items!P63</f>
        <v>false</v>
      </c>
      <c r="Q77" s="16">
        <f>[1]Items!Q63</f>
        <v>0</v>
      </c>
      <c r="R77" s="16">
        <f>[1]Items!R63</f>
        <v>0</v>
      </c>
      <c r="S77" s="16">
        <f>[1]Items!S63</f>
        <v>0</v>
      </c>
      <c r="W77">
        <f>IF('Dota 2'!$C$6, (Items!C77+Items!E77)*Items!$X$2, (Items!C77+Items!D77)*Items!$X$2)</f>
        <v>9.5389507154216062</v>
      </c>
      <c r="X77">
        <f t="shared" si="0"/>
        <v>0</v>
      </c>
      <c r="Y77">
        <f t="shared" si="1"/>
        <v>0</v>
      </c>
      <c r="Z77">
        <f t="shared" si="2"/>
        <v>0</v>
      </c>
      <c r="AA77">
        <f t="shared" si="3"/>
        <v>0</v>
      </c>
      <c r="AB77">
        <f>('Dota 2'!$H$10/$Z$4) * (1-($Y$9*($AA$2+J77))/($Y$7+$Y$9*ABS($AA$2+J77)) - $Z$4)</f>
        <v>0</v>
      </c>
      <c r="AC77">
        <f>IF('Dota 2'!$C$6, K77*M77*(1-$Z$3)*'Dota 2'!$H$8, K77*L77*(1-$Z$3)*'Dota 2'!$H$8)</f>
        <v>0</v>
      </c>
      <c r="AD77">
        <f>N77*O77*'Dota 2'!$H$10</f>
        <v>0</v>
      </c>
      <c r="AE77" s="2">
        <f t="shared" si="4"/>
        <v>9.5389507154216062</v>
      </c>
      <c r="AF77" s="17">
        <f t="shared" si="5"/>
        <v>6.3593004769477374E-3</v>
      </c>
    </row>
    <row r="78" spans="1:32" x14ac:dyDescent="0.25">
      <c r="A78" s="6" t="str">
        <f>[1]Items!$A64</f>
        <v>Philosopher's Stone</v>
      </c>
      <c r="B78" s="16" t="str">
        <f>[1]Items!B64</f>
        <v>0</v>
      </c>
      <c r="C78" s="16" t="str">
        <f>[1]Items!C64</f>
        <v>-30</v>
      </c>
      <c r="D78" s="16" t="str">
        <f>[1]Items!D64</f>
        <v>0</v>
      </c>
      <c r="E78" s="16" t="str">
        <f>[1]Items!E64</f>
        <v>0</v>
      </c>
      <c r="F78" s="16" t="str">
        <f>[1]Items!F64</f>
        <v>0</v>
      </c>
      <c r="G78" s="16" t="str">
        <f>[1]Items!G64</f>
        <v>0</v>
      </c>
      <c r="H78" s="16" t="str">
        <f>[1]Items!H64</f>
        <v>0</v>
      </c>
      <c r="I78" s="16" t="str">
        <f>[1]Items!I64</f>
        <v>0</v>
      </c>
      <c r="J78" s="16" t="str">
        <f>[1]Items!J64</f>
        <v>0</v>
      </c>
      <c r="K78" s="16" t="str">
        <f>[1]Items!K64</f>
        <v>0</v>
      </c>
      <c r="L78" s="16" t="str">
        <f>[1]Items!L64</f>
        <v>0</v>
      </c>
      <c r="M78" s="16" t="str">
        <f>[1]Items!M64</f>
        <v>0</v>
      </c>
      <c r="N78" s="16" t="str">
        <f>[1]Items!N64</f>
        <v>1</v>
      </c>
      <c r="O78" s="16" t="str">
        <f>[1]Items!O64</f>
        <v>0</v>
      </c>
      <c r="P78" s="16" t="str">
        <f>[1]Items!P64</f>
        <v>true</v>
      </c>
      <c r="Q78" s="16">
        <f>[1]Items!Q64</f>
        <v>0</v>
      </c>
      <c r="R78" s="16">
        <f>[1]Items!R64</f>
        <v>0</v>
      </c>
      <c r="S78" s="16">
        <f>[1]Items!S64</f>
        <v>0</v>
      </c>
      <c r="W78">
        <f>IF('Dota 2'!$C$6, (Items!C78+Items!E78)*Items!$X$2, (Items!C78+Items!D78)*Items!$X$2)</f>
        <v>-23.847376788554016</v>
      </c>
      <c r="X78">
        <f t="shared" si="0"/>
        <v>0</v>
      </c>
      <c r="Y78">
        <f t="shared" si="1"/>
        <v>0</v>
      </c>
      <c r="Z78">
        <f t="shared" si="2"/>
        <v>0</v>
      </c>
      <c r="AA78">
        <f t="shared" si="3"/>
        <v>0</v>
      </c>
      <c r="AB78">
        <f>('Dota 2'!$H$10/$Z$4) * (1-($Y$9*($AA$2+J78))/($Y$7+$Y$9*ABS($AA$2+J78)) - $Z$4)</f>
        <v>0</v>
      </c>
      <c r="AC78">
        <f>IF('Dota 2'!$C$6, K78*M78*(1-$Z$3)*'Dota 2'!$H$8, K78*L78*(1-$Z$3)*'Dota 2'!$H$8)</f>
        <v>0</v>
      </c>
      <c r="AD78">
        <f>N78*O78*'Dota 2'!$H$10</f>
        <v>0</v>
      </c>
      <c r="AE78" s="2">
        <f t="shared" si="4"/>
        <v>-23.847376788554016</v>
      </c>
      <c r="AF78" s="17">
        <f t="shared" si="5"/>
        <v>0</v>
      </c>
    </row>
    <row r="79" spans="1:32" x14ac:dyDescent="0.25">
      <c r="A79" s="6" t="str">
        <f>[1]Items!$A65</f>
        <v>Poor Man's Shield</v>
      </c>
      <c r="B79" s="16" t="str">
        <f>[1]Items!B65</f>
        <v>0</v>
      </c>
      <c r="C79" s="16" t="str">
        <f>[1]Items!C65</f>
        <v>0</v>
      </c>
      <c r="D79" s="16" t="str">
        <f>[1]Items!D65</f>
        <v>0</v>
      </c>
      <c r="E79" s="16" t="str">
        <f>[1]Items!E65</f>
        <v>0</v>
      </c>
      <c r="F79" s="16" t="str">
        <f>[1]Items!F65</f>
        <v>0</v>
      </c>
      <c r="G79" s="16" t="str">
        <f>[1]Items!G65</f>
        <v>0</v>
      </c>
      <c r="H79" s="16" t="str">
        <f>[1]Items!H65</f>
        <v>8</v>
      </c>
      <c r="I79" s="16" t="str">
        <f>[1]Items!I65</f>
        <v>0</v>
      </c>
      <c r="J79" s="16" t="str">
        <f>[1]Items!J65</f>
        <v>0</v>
      </c>
      <c r="K79" s="16" t="str">
        <f>[1]Items!K65</f>
        <v>0</v>
      </c>
      <c r="L79" s="16" t="str">
        <f>[1]Items!L65</f>
        <v>0</v>
      </c>
      <c r="M79" s="16" t="str">
        <f>[1]Items!M65</f>
        <v>0</v>
      </c>
      <c r="N79" s="16" t="str">
        <f>[1]Items!N65</f>
        <v>1</v>
      </c>
      <c r="O79" s="16" t="str">
        <f>[1]Items!O65</f>
        <v>0</v>
      </c>
      <c r="P79" s="16" t="str">
        <f>[1]Items!P65</f>
        <v>true</v>
      </c>
      <c r="Q79" s="16">
        <f>[1]Items!Q65</f>
        <v>0</v>
      </c>
      <c r="R79" s="16">
        <f>[1]Items!R65</f>
        <v>0</v>
      </c>
      <c r="S79" s="16">
        <f>[1]Items!S65</f>
        <v>0</v>
      </c>
      <c r="W79">
        <f>IF('Dota 2'!$C$6, (Items!C79+Items!E79)*Items!$X$2, (Items!C79+Items!D79)*Items!$X$2)</f>
        <v>0</v>
      </c>
      <c r="X79">
        <f t="shared" ref="X79:X142" si="6">F79*$X$3</f>
        <v>0</v>
      </c>
      <c r="Y79">
        <f t="shared" si="1"/>
        <v>0</v>
      </c>
      <c r="Z79">
        <f t="shared" si="2"/>
        <v>12.718600953895702</v>
      </c>
      <c r="AA79">
        <f t="shared" si="3"/>
        <v>0</v>
      </c>
      <c r="AB79">
        <f>('Dota 2'!$H$10/$Z$4) * (1-($Y$9*($AA$2+J79))/($Y$7+$Y$9*ABS($AA$2+J79)) - $Z$4)</f>
        <v>0</v>
      </c>
      <c r="AC79">
        <f>IF('Dota 2'!$C$6, K79*M79*(1-$Z$3)*'Dota 2'!$H$8, K79*L79*(1-$Z$3)*'Dota 2'!$H$8)</f>
        <v>0</v>
      </c>
      <c r="AD79">
        <f>N79*O79*'Dota 2'!$H$10</f>
        <v>0</v>
      </c>
      <c r="AE79" s="2">
        <f t="shared" si="4"/>
        <v>12.718600953895702</v>
      </c>
      <c r="AF79" s="17">
        <f t="shared" si="5"/>
        <v>0</v>
      </c>
    </row>
    <row r="80" spans="1:32" x14ac:dyDescent="0.25">
      <c r="A80" s="6" t="str">
        <f>[1]Items!$A66</f>
        <v>Power Treads</v>
      </c>
      <c r="B80" s="16" t="str">
        <f>[1]Items!B66</f>
        <v>1400</v>
      </c>
      <c r="C80" s="16" t="str">
        <f>[1]Items!C66</f>
        <v>0</v>
      </c>
      <c r="D80" s="16" t="str">
        <f>[1]Items!D66</f>
        <v>0</v>
      </c>
      <c r="E80" s="16" t="str">
        <f>[1]Items!E66</f>
        <v>0</v>
      </c>
      <c r="F80" s="16" t="str">
        <f>[1]Items!F66</f>
        <v>25</v>
      </c>
      <c r="G80" s="16" t="str">
        <f>[1]Items!G66</f>
        <v>0</v>
      </c>
      <c r="H80" s="16" t="str">
        <f>[1]Items!H66</f>
        <v>0</v>
      </c>
      <c r="I80" s="16" t="str">
        <f>[1]Items!I66</f>
        <v>0</v>
      </c>
      <c r="J80" s="16" t="str">
        <f>[1]Items!J66</f>
        <v>0</v>
      </c>
      <c r="K80" s="16" t="str">
        <f>[1]Items!K66</f>
        <v>0</v>
      </c>
      <c r="L80" s="16" t="str">
        <f>[1]Items!L66</f>
        <v>0</v>
      </c>
      <c r="M80" s="16" t="str">
        <f>[1]Items!M66</f>
        <v>0</v>
      </c>
      <c r="N80" s="16" t="str">
        <f>[1]Items!N66</f>
        <v>1</v>
      </c>
      <c r="O80" s="16" t="str">
        <f>[1]Items!O66</f>
        <v>0</v>
      </c>
      <c r="P80" s="16" t="str">
        <f>[1]Items!P66</f>
        <v>false</v>
      </c>
      <c r="Q80" s="16">
        <f>[1]Items!Q66</f>
        <v>0</v>
      </c>
      <c r="R80" s="16">
        <f>[1]Items!R66</f>
        <v>0</v>
      </c>
      <c r="S80" s="16">
        <f>[1]Items!S66</f>
        <v>0</v>
      </c>
      <c r="W80">
        <f>IF('Dota 2'!$C$6, (Items!C80+Items!E80)*Items!$X$2, (Items!C80+Items!D80)*Items!$X$2)</f>
        <v>0</v>
      </c>
      <c r="X80">
        <f t="shared" si="6"/>
        <v>19.87281399046239</v>
      </c>
      <c r="Y80">
        <f t="shared" ref="Y80:Y143" si="7">G80*$X$4</f>
        <v>0</v>
      </c>
      <c r="Z80">
        <f t="shared" ref="Z80:Z143" si="8">H80*$X$5</f>
        <v>0</v>
      </c>
      <c r="AA80">
        <f t="shared" ref="AA80:AA143" si="9">I80*$X$6</f>
        <v>0</v>
      </c>
      <c r="AB80">
        <f>('Dota 2'!$H$10/$Z$4) * (1-($Y$9*($AA$2+J80))/($Y$7+$Y$9*ABS($AA$2+J80)) - $Z$4)</f>
        <v>0</v>
      </c>
      <c r="AC80">
        <f>IF('Dota 2'!$C$6, K80*M80*(1-$Z$3)*'Dota 2'!$H$8, K80*L80*(1-$Z$3)*'Dota 2'!$H$8)</f>
        <v>0</v>
      </c>
      <c r="AD80">
        <f>N80*O80*'Dota 2'!$H$10</f>
        <v>0</v>
      </c>
      <c r="AE80" s="2">
        <f t="shared" ref="AE80:AE143" si="10">SUM(W80:AD80)</f>
        <v>19.87281399046239</v>
      </c>
      <c r="AF80" s="17">
        <f t="shared" ref="AF80:AF143" si="11">IFERROR(AE80/B80, 0)</f>
        <v>1.4194867136044564E-2</v>
      </c>
    </row>
    <row r="81" spans="1:32" x14ac:dyDescent="0.25">
      <c r="A81" s="6" t="str">
        <f>[1]Items!$A67</f>
        <v>Quarterstaff</v>
      </c>
      <c r="B81" s="16" t="str">
        <f>[1]Items!B67</f>
        <v>875</v>
      </c>
      <c r="C81" s="16" t="str">
        <f>[1]Items!C67</f>
        <v>10</v>
      </c>
      <c r="D81" s="16" t="str">
        <f>[1]Items!D67</f>
        <v>0</v>
      </c>
      <c r="E81" s="16" t="str">
        <f>[1]Items!E67</f>
        <v>0</v>
      </c>
      <c r="F81" s="16" t="str">
        <f>[1]Items!F67</f>
        <v>0</v>
      </c>
      <c r="G81" s="16" t="str">
        <f>[1]Items!G67</f>
        <v>0</v>
      </c>
      <c r="H81" s="16" t="str">
        <f>[1]Items!H67</f>
        <v>0</v>
      </c>
      <c r="I81" s="16" t="str">
        <f>[1]Items!I67</f>
        <v>0</v>
      </c>
      <c r="J81" s="16" t="str">
        <f>[1]Items!J67</f>
        <v>0</v>
      </c>
      <c r="K81" s="16" t="str">
        <f>[1]Items!K67</f>
        <v>0</v>
      </c>
      <c r="L81" s="16" t="str">
        <f>[1]Items!L67</f>
        <v>0</v>
      </c>
      <c r="M81" s="16" t="str">
        <f>[1]Items!M67</f>
        <v>0</v>
      </c>
      <c r="N81" s="16" t="str">
        <f>[1]Items!N67</f>
        <v>1</v>
      </c>
      <c r="O81" s="16" t="str">
        <f>[1]Items!O67</f>
        <v>0</v>
      </c>
      <c r="P81" s="16" t="str">
        <f>[1]Items!P67</f>
        <v>false</v>
      </c>
      <c r="Q81" s="16">
        <f>[1]Items!Q67</f>
        <v>0</v>
      </c>
      <c r="R81" s="16">
        <f>[1]Items!R67</f>
        <v>0</v>
      </c>
      <c r="S81" s="16">
        <f>[1]Items!S67</f>
        <v>0</v>
      </c>
      <c r="W81">
        <f>IF('Dota 2'!$C$6, (Items!C81+Items!E81)*Items!$X$2, (Items!C81+Items!D81)*Items!$X$2)</f>
        <v>7.9491255961846718</v>
      </c>
      <c r="X81">
        <f t="shared" si="6"/>
        <v>0</v>
      </c>
      <c r="Y81">
        <f t="shared" si="7"/>
        <v>0</v>
      </c>
      <c r="Z81">
        <f t="shared" si="8"/>
        <v>0</v>
      </c>
      <c r="AA81">
        <f t="shared" si="9"/>
        <v>0</v>
      </c>
      <c r="AB81">
        <f>('Dota 2'!$H$10/$Z$4) * (1-($Y$9*($AA$2+J81))/($Y$7+$Y$9*ABS($AA$2+J81)) - $Z$4)</f>
        <v>0</v>
      </c>
      <c r="AC81">
        <f>IF('Dota 2'!$C$6, K81*M81*(1-$Z$3)*'Dota 2'!$H$8, K81*L81*(1-$Z$3)*'Dota 2'!$H$8)</f>
        <v>0</v>
      </c>
      <c r="AD81">
        <f>N81*O81*'Dota 2'!$H$10</f>
        <v>0</v>
      </c>
      <c r="AE81" s="2">
        <f t="shared" si="10"/>
        <v>7.9491255961846718</v>
      </c>
      <c r="AF81" s="17">
        <f t="shared" si="11"/>
        <v>9.084714967068197E-3</v>
      </c>
    </row>
    <row r="82" spans="1:32" x14ac:dyDescent="0.25">
      <c r="A82" s="6" t="str">
        <f>[1]Items!$A68</f>
        <v>Divine Rapier</v>
      </c>
      <c r="B82" s="16" t="str">
        <f>[1]Items!B68</f>
        <v>5950</v>
      </c>
      <c r="C82" s="16" t="str">
        <f>[1]Items!C68</f>
        <v>350</v>
      </c>
      <c r="D82" s="16" t="str">
        <f>[1]Items!D68</f>
        <v>0</v>
      </c>
      <c r="E82" s="16" t="str">
        <f>[1]Items!E68</f>
        <v>0</v>
      </c>
      <c r="F82" s="16" t="str">
        <f>[1]Items!F68</f>
        <v>0</v>
      </c>
      <c r="G82" s="16" t="str">
        <f>[1]Items!G68</f>
        <v>0</v>
      </c>
      <c r="H82" s="16" t="str">
        <f>[1]Items!H68</f>
        <v>0</v>
      </c>
      <c r="I82" s="16" t="str">
        <f>[1]Items!I68</f>
        <v>0</v>
      </c>
      <c r="J82" s="16" t="str">
        <f>[1]Items!J68</f>
        <v>0</v>
      </c>
      <c r="K82" s="16" t="str">
        <f>[1]Items!K68</f>
        <v>0</v>
      </c>
      <c r="L82" s="16" t="str">
        <f>[1]Items!L68</f>
        <v>0</v>
      </c>
      <c r="M82" s="16" t="str">
        <f>[1]Items!M68</f>
        <v>0</v>
      </c>
      <c r="N82" s="16" t="str">
        <f>[1]Items!N68</f>
        <v>1</v>
      </c>
      <c r="O82" s="16" t="str">
        <f>[1]Items!O68</f>
        <v>0</v>
      </c>
      <c r="P82" s="16" t="str">
        <f>[1]Items!P68</f>
        <v>false</v>
      </c>
      <c r="Q82" s="16">
        <f>[1]Items!Q68</f>
        <v>0</v>
      </c>
      <c r="R82" s="16">
        <f>[1]Items!R68</f>
        <v>0</v>
      </c>
      <c r="S82" s="16">
        <f>[1]Items!S68</f>
        <v>0</v>
      </c>
      <c r="W82">
        <f>IF('Dota 2'!$C$6, (Items!C82+Items!E82)*Items!$X$2, (Items!C82+Items!D82)*Items!$X$2)</f>
        <v>278.21939586646351</v>
      </c>
      <c r="X82">
        <f t="shared" si="6"/>
        <v>0</v>
      </c>
      <c r="Y82">
        <f t="shared" si="7"/>
        <v>0</v>
      </c>
      <c r="Z82">
        <f t="shared" si="8"/>
        <v>0</v>
      </c>
      <c r="AA82">
        <f t="shared" si="9"/>
        <v>0</v>
      </c>
      <c r="AB82">
        <f>('Dota 2'!$H$10/$Z$4) * (1-($Y$9*($AA$2+J82))/($Y$7+$Y$9*ABS($AA$2+J82)) - $Z$4)</f>
        <v>0</v>
      </c>
      <c r="AC82">
        <f>IF('Dota 2'!$C$6, K82*M82*(1-$Z$3)*'Dota 2'!$H$8, K82*L82*(1-$Z$3)*'Dota 2'!$H$8)</f>
        <v>0</v>
      </c>
      <c r="AD82">
        <f>N82*O82*'Dota 2'!$H$10</f>
        <v>0</v>
      </c>
      <c r="AE82" s="2">
        <f t="shared" si="10"/>
        <v>278.21939586646351</v>
      </c>
      <c r="AF82" s="17">
        <f t="shared" si="11"/>
        <v>4.6759562330498071E-2</v>
      </c>
    </row>
    <row r="83" spans="1:32" x14ac:dyDescent="0.25">
      <c r="A83" s="6" t="str">
        <f>[1]Items!$A69</f>
        <v>Reaver</v>
      </c>
      <c r="B83" s="16" t="str">
        <f>[1]Items!B69</f>
        <v>2800</v>
      </c>
      <c r="C83" s="16" t="str">
        <f>[1]Items!C69</f>
        <v>0</v>
      </c>
      <c r="D83" s="16" t="str">
        <f>[1]Items!D69</f>
        <v>0</v>
      </c>
      <c r="E83" s="16" t="str">
        <f>[1]Items!E69</f>
        <v>0</v>
      </c>
      <c r="F83" s="16" t="str">
        <f>[1]Items!F69</f>
        <v>0</v>
      </c>
      <c r="G83" s="16" t="str">
        <f>[1]Items!G69</f>
        <v>25</v>
      </c>
      <c r="H83" s="16" t="str">
        <f>[1]Items!H69</f>
        <v>0</v>
      </c>
      <c r="I83" s="16" t="str">
        <f>[1]Items!I69</f>
        <v>0</v>
      </c>
      <c r="J83" s="16" t="str">
        <f>[1]Items!J69</f>
        <v>0</v>
      </c>
      <c r="K83" s="16" t="str">
        <f>[1]Items!K69</f>
        <v>0</v>
      </c>
      <c r="L83" s="16" t="str">
        <f>[1]Items!L69</f>
        <v>0</v>
      </c>
      <c r="M83" s="16" t="str">
        <f>[1]Items!M69</f>
        <v>0</v>
      </c>
      <c r="N83" s="16" t="str">
        <f>[1]Items!N69</f>
        <v>1</v>
      </c>
      <c r="O83" s="16" t="str">
        <f>[1]Items!O69</f>
        <v>0</v>
      </c>
      <c r="P83" s="16" t="str">
        <f>[1]Items!P69</f>
        <v>false</v>
      </c>
      <c r="Q83" s="16">
        <f>[1]Items!Q69</f>
        <v>0</v>
      </c>
      <c r="R83" s="16">
        <f>[1]Items!R69</f>
        <v>0</v>
      </c>
      <c r="S83" s="16">
        <f>[1]Items!S69</f>
        <v>0</v>
      </c>
      <c r="W83">
        <f>IF('Dota 2'!$C$6, (Items!C83+Items!E83)*Items!$X$2, (Items!C83+Items!D83)*Items!$X$2)</f>
        <v>0</v>
      </c>
      <c r="X83">
        <f t="shared" si="6"/>
        <v>0</v>
      </c>
      <c r="Y83">
        <f t="shared" si="7"/>
        <v>0</v>
      </c>
      <c r="Z83">
        <f t="shared" si="8"/>
        <v>0</v>
      </c>
      <c r="AA83">
        <f t="shared" si="9"/>
        <v>0</v>
      </c>
      <c r="AB83">
        <f>('Dota 2'!$H$10/$Z$4) * (1-($Y$9*($AA$2+J83))/($Y$7+$Y$9*ABS($AA$2+J83)) - $Z$4)</f>
        <v>0</v>
      </c>
      <c r="AC83">
        <f>IF('Dota 2'!$C$6, K83*M83*(1-$Z$3)*'Dota 2'!$H$8, K83*L83*(1-$Z$3)*'Dota 2'!$H$8)</f>
        <v>0</v>
      </c>
      <c r="AD83">
        <f>N83*O83*'Dota 2'!$H$10</f>
        <v>0</v>
      </c>
      <c r="AE83" s="2">
        <f t="shared" si="10"/>
        <v>0</v>
      </c>
      <c r="AF83" s="17">
        <f t="shared" si="11"/>
        <v>0</v>
      </c>
    </row>
    <row r="84" spans="1:32" x14ac:dyDescent="0.25">
      <c r="A84" s="6" t="str">
        <f>[1]Items!$A70</f>
        <v>Sacred Relic</v>
      </c>
      <c r="B84" s="16" t="str">
        <f>[1]Items!B70</f>
        <v>3750</v>
      </c>
      <c r="C84" s="16" t="str">
        <f>[1]Items!C70</f>
        <v>60</v>
      </c>
      <c r="D84" s="16" t="str">
        <f>[1]Items!D70</f>
        <v>0</v>
      </c>
      <c r="E84" s="16" t="str">
        <f>[1]Items!E70</f>
        <v>0</v>
      </c>
      <c r="F84" s="16" t="str">
        <f>[1]Items!F70</f>
        <v>0</v>
      </c>
      <c r="G84" s="16" t="str">
        <f>[1]Items!G70</f>
        <v>0</v>
      </c>
      <c r="H84" s="16" t="str">
        <f>[1]Items!H70</f>
        <v>0</v>
      </c>
      <c r="I84" s="16" t="str">
        <f>[1]Items!I70</f>
        <v>0</v>
      </c>
      <c r="J84" s="16" t="str">
        <f>[1]Items!J70</f>
        <v>0</v>
      </c>
      <c r="K84" s="16" t="str">
        <f>[1]Items!K70</f>
        <v>0</v>
      </c>
      <c r="L84" s="16" t="str">
        <f>[1]Items!L70</f>
        <v>0</v>
      </c>
      <c r="M84" s="16" t="str">
        <f>[1]Items!M70</f>
        <v>0</v>
      </c>
      <c r="N84" s="16" t="str">
        <f>[1]Items!N70</f>
        <v>1</v>
      </c>
      <c r="O84" s="16" t="str">
        <f>[1]Items!O70</f>
        <v>0</v>
      </c>
      <c r="P84" s="16" t="str">
        <f>[1]Items!P70</f>
        <v>false</v>
      </c>
      <c r="Q84" s="16">
        <f>[1]Items!Q70</f>
        <v>0</v>
      </c>
      <c r="R84" s="16">
        <f>[1]Items!R70</f>
        <v>0</v>
      </c>
      <c r="S84" s="16">
        <f>[1]Items!S70</f>
        <v>0</v>
      </c>
      <c r="W84">
        <f>IF('Dota 2'!$C$6, (Items!C84+Items!E84)*Items!$X$2, (Items!C84+Items!D84)*Items!$X$2)</f>
        <v>47.694753577108031</v>
      </c>
      <c r="X84">
        <f t="shared" si="6"/>
        <v>0</v>
      </c>
      <c r="Y84">
        <f t="shared" si="7"/>
        <v>0</v>
      </c>
      <c r="Z84">
        <f t="shared" si="8"/>
        <v>0</v>
      </c>
      <c r="AA84">
        <f t="shared" si="9"/>
        <v>0</v>
      </c>
      <c r="AB84">
        <f>('Dota 2'!$H$10/$Z$4) * (1-($Y$9*($AA$2+J84))/($Y$7+$Y$9*ABS($AA$2+J84)) - $Z$4)</f>
        <v>0</v>
      </c>
      <c r="AC84">
        <f>IF('Dota 2'!$C$6, K84*M84*(1-$Z$3)*'Dota 2'!$H$8, K84*L84*(1-$Z$3)*'Dota 2'!$H$8)</f>
        <v>0</v>
      </c>
      <c r="AD84">
        <f>N84*O84*'Dota 2'!$H$10</f>
        <v>0</v>
      </c>
      <c r="AE84" s="2">
        <f t="shared" si="10"/>
        <v>47.694753577108031</v>
      </c>
      <c r="AF84" s="17">
        <f t="shared" si="11"/>
        <v>1.2718600953895475E-2</v>
      </c>
    </row>
    <row r="85" spans="1:32" x14ac:dyDescent="0.25">
      <c r="A85" s="6" t="str">
        <f>[1]Items!$A71</f>
        <v>Robe of the Magi</v>
      </c>
      <c r="B85" s="16" t="str">
        <f>[1]Items!B71</f>
        <v>450</v>
      </c>
      <c r="C85" s="16" t="str">
        <f>[1]Items!C71</f>
        <v>0</v>
      </c>
      <c r="D85" s="16" t="str">
        <f>[1]Items!D71</f>
        <v>0</v>
      </c>
      <c r="E85" s="16" t="str">
        <f>[1]Items!E71</f>
        <v>0</v>
      </c>
      <c r="F85" s="16" t="str">
        <f>[1]Items!F71</f>
        <v>0</v>
      </c>
      <c r="G85" s="16" t="str">
        <f>[1]Items!G71</f>
        <v>0</v>
      </c>
      <c r="H85" s="16" t="str">
        <f>[1]Items!H71</f>
        <v>0</v>
      </c>
      <c r="I85" s="16" t="str">
        <f>[1]Items!I71</f>
        <v>6</v>
      </c>
      <c r="J85" s="16" t="str">
        <f>[1]Items!J71</f>
        <v>0</v>
      </c>
      <c r="K85" s="16" t="str">
        <f>[1]Items!K71</f>
        <v>0</v>
      </c>
      <c r="L85" s="16" t="str">
        <f>[1]Items!L71</f>
        <v>0</v>
      </c>
      <c r="M85" s="16" t="str">
        <f>[1]Items!M71</f>
        <v>0</v>
      </c>
      <c r="N85" s="16" t="str">
        <f>[1]Items!N71</f>
        <v>1</v>
      </c>
      <c r="O85" s="16" t="str">
        <f>[1]Items!O71</f>
        <v>0</v>
      </c>
      <c r="P85" s="16" t="str">
        <f>[1]Items!P71</f>
        <v>false</v>
      </c>
      <c r="Q85" s="16">
        <f>[1]Items!Q71</f>
        <v>0</v>
      </c>
      <c r="R85" s="16">
        <f>[1]Items!R71</f>
        <v>0</v>
      </c>
      <c r="S85" s="16">
        <f>[1]Items!S71</f>
        <v>0</v>
      </c>
      <c r="W85">
        <f>IF('Dota 2'!$C$6, (Items!C85+Items!E85)*Items!$X$2, (Items!C85+Items!D85)*Items!$X$2)</f>
        <v>0</v>
      </c>
      <c r="X85">
        <f t="shared" si="6"/>
        <v>0</v>
      </c>
      <c r="Y85">
        <f t="shared" si="7"/>
        <v>0</v>
      </c>
      <c r="Z85">
        <f t="shared" si="8"/>
        <v>0</v>
      </c>
      <c r="AA85">
        <f t="shared" si="9"/>
        <v>0</v>
      </c>
      <c r="AB85">
        <f>('Dota 2'!$H$10/$Z$4) * (1-($Y$9*($AA$2+J85))/($Y$7+$Y$9*ABS($AA$2+J85)) - $Z$4)</f>
        <v>0</v>
      </c>
      <c r="AC85">
        <f>IF('Dota 2'!$C$6, K85*M85*(1-$Z$3)*'Dota 2'!$H$8, K85*L85*(1-$Z$3)*'Dota 2'!$H$8)</f>
        <v>0</v>
      </c>
      <c r="AD85">
        <f>N85*O85*'Dota 2'!$H$10</f>
        <v>0</v>
      </c>
      <c r="AE85" s="2">
        <f t="shared" si="10"/>
        <v>0</v>
      </c>
      <c r="AF85" s="17">
        <f t="shared" si="11"/>
        <v>0</v>
      </c>
    </row>
    <row r="86" spans="1:32" x14ac:dyDescent="0.25">
      <c r="A86" s="6" t="str">
        <f>[1]Items!$A72</f>
        <v>Rod of Atos</v>
      </c>
      <c r="B86" s="16" t="str">
        <f>[1]Items!B72</f>
        <v>2750</v>
      </c>
      <c r="C86" s="16" t="str">
        <f>[1]Items!C72</f>
        <v>0</v>
      </c>
      <c r="D86" s="16" t="str">
        <f>[1]Items!D72</f>
        <v>0</v>
      </c>
      <c r="E86" s="16" t="str">
        <f>[1]Items!E72</f>
        <v>0</v>
      </c>
      <c r="F86" s="16" t="str">
        <f>[1]Items!F72</f>
        <v>0</v>
      </c>
      <c r="G86" s="16" t="str">
        <f>[1]Items!G72</f>
        <v>12</v>
      </c>
      <c r="H86" s="16" t="str">
        <f>[1]Items!H72</f>
        <v>12</v>
      </c>
      <c r="I86" s="16" t="str">
        <f>[1]Items!I72</f>
        <v>24</v>
      </c>
      <c r="J86" s="16" t="str">
        <f>[1]Items!J72</f>
        <v>0</v>
      </c>
      <c r="K86" s="16" t="str">
        <f>[1]Items!K72</f>
        <v>0</v>
      </c>
      <c r="L86" s="16" t="str">
        <f>[1]Items!L72</f>
        <v>0</v>
      </c>
      <c r="M86" s="16" t="str">
        <f>[1]Items!M72</f>
        <v>0</v>
      </c>
      <c r="N86" s="16" t="str">
        <f>[1]Items!N72</f>
        <v>1</v>
      </c>
      <c r="O86" s="16" t="str">
        <f>[1]Items!O72</f>
        <v>0</v>
      </c>
      <c r="P86" s="16" t="str">
        <f>[1]Items!P72</f>
        <v>false</v>
      </c>
      <c r="Q86" s="16">
        <f>[1]Items!Q72</f>
        <v>0</v>
      </c>
      <c r="R86" s="16">
        <f>[1]Items!R72</f>
        <v>0</v>
      </c>
      <c r="S86" s="16">
        <f>[1]Items!S72</f>
        <v>0</v>
      </c>
      <c r="W86">
        <f>IF('Dota 2'!$C$6, (Items!C86+Items!E86)*Items!$X$2, (Items!C86+Items!D86)*Items!$X$2)</f>
        <v>0</v>
      </c>
      <c r="X86">
        <f t="shared" si="6"/>
        <v>0</v>
      </c>
      <c r="Y86">
        <f t="shared" si="7"/>
        <v>0</v>
      </c>
      <c r="Z86">
        <f t="shared" si="8"/>
        <v>19.077901430843553</v>
      </c>
      <c r="AA86">
        <f t="shared" si="9"/>
        <v>0</v>
      </c>
      <c r="AB86">
        <f>('Dota 2'!$H$10/$Z$4) * (1-($Y$9*($AA$2+J86))/($Y$7+$Y$9*ABS($AA$2+J86)) - $Z$4)</f>
        <v>0</v>
      </c>
      <c r="AC86">
        <f>IF('Dota 2'!$C$6, K86*M86*(1-$Z$3)*'Dota 2'!$H$8, K86*L86*(1-$Z$3)*'Dota 2'!$H$8)</f>
        <v>0</v>
      </c>
      <c r="AD86">
        <f>N86*O86*'Dota 2'!$H$10</f>
        <v>0</v>
      </c>
      <c r="AE86" s="2">
        <f t="shared" si="10"/>
        <v>19.077901430843553</v>
      </c>
      <c r="AF86" s="17">
        <f t="shared" si="11"/>
        <v>6.9374187021249284E-3</v>
      </c>
    </row>
    <row r="87" spans="1:32" x14ac:dyDescent="0.25">
      <c r="A87" s="6" t="str">
        <f>[1]Items!$A73</f>
        <v>Sange</v>
      </c>
      <c r="B87" s="16" t="str">
        <f>[1]Items!B73</f>
        <v>2050</v>
      </c>
      <c r="C87" s="16" t="str">
        <f>[1]Items!C73</f>
        <v>0</v>
      </c>
      <c r="D87" s="16" t="str">
        <f>[1]Items!D73</f>
        <v>0</v>
      </c>
      <c r="E87" s="16" t="str">
        <f>[1]Items!E73</f>
        <v>0</v>
      </c>
      <c r="F87" s="16" t="str">
        <f>[1]Items!F73</f>
        <v>0</v>
      </c>
      <c r="G87" s="16" t="str">
        <f>[1]Items!G73</f>
        <v>16</v>
      </c>
      <c r="H87" s="16" t="str">
        <f>[1]Items!H73</f>
        <v>0</v>
      </c>
      <c r="I87" s="16" t="str">
        <f>[1]Items!I73</f>
        <v>0</v>
      </c>
      <c r="J87" s="16" t="str">
        <f>[1]Items!J73</f>
        <v>0</v>
      </c>
      <c r="K87" s="16" t="str">
        <f>[1]Items!K73</f>
        <v>0</v>
      </c>
      <c r="L87" s="16" t="str">
        <f>[1]Items!L73</f>
        <v>0</v>
      </c>
      <c r="M87" s="16" t="str">
        <f>[1]Items!M73</f>
        <v>0</v>
      </c>
      <c r="N87" s="16" t="str">
        <f>[1]Items!N73</f>
        <v>1</v>
      </c>
      <c r="O87" s="16" t="str">
        <f>[1]Items!O73</f>
        <v>0</v>
      </c>
      <c r="P87" s="16" t="str">
        <f>[1]Items!P73</f>
        <v>false</v>
      </c>
      <c r="Q87" s="16">
        <f>[1]Items!Q73</f>
        <v>0</v>
      </c>
      <c r="R87" s="16">
        <f>[1]Items!R73</f>
        <v>0</v>
      </c>
      <c r="S87" s="16">
        <f>[1]Items!S73</f>
        <v>0</v>
      </c>
      <c r="W87">
        <f>IF('Dota 2'!$C$6, (Items!C87+Items!E87)*Items!$X$2, (Items!C87+Items!D87)*Items!$X$2)</f>
        <v>0</v>
      </c>
      <c r="X87">
        <f t="shared" si="6"/>
        <v>0</v>
      </c>
      <c r="Y87">
        <f t="shared" si="7"/>
        <v>0</v>
      </c>
      <c r="Z87">
        <f t="shared" si="8"/>
        <v>0</v>
      </c>
      <c r="AA87">
        <f t="shared" si="9"/>
        <v>0</v>
      </c>
      <c r="AB87">
        <f>('Dota 2'!$H$10/$Z$4) * (1-($Y$9*($AA$2+J87))/($Y$7+$Y$9*ABS($AA$2+J87)) - $Z$4)</f>
        <v>0</v>
      </c>
      <c r="AC87">
        <f>IF('Dota 2'!$C$6, K87*M87*(1-$Z$3)*'Dota 2'!$H$8, K87*L87*(1-$Z$3)*'Dota 2'!$H$8)</f>
        <v>0</v>
      </c>
      <c r="AD87">
        <f>N87*O87*'Dota 2'!$H$10</f>
        <v>0</v>
      </c>
      <c r="AE87" s="2">
        <f t="shared" si="10"/>
        <v>0</v>
      </c>
      <c r="AF87" s="17">
        <f t="shared" si="11"/>
        <v>0</v>
      </c>
    </row>
    <row r="88" spans="1:32" x14ac:dyDescent="0.25">
      <c r="A88" s="6" t="str">
        <f>[1]Items!$A74</f>
        <v>Sange and Yasha</v>
      </c>
      <c r="B88" s="16" t="str">
        <f>[1]Items!B74</f>
        <v>4100</v>
      </c>
      <c r="C88" s="16" t="str">
        <f>[1]Items!C74</f>
        <v>0</v>
      </c>
      <c r="D88" s="16" t="str">
        <f>[1]Items!D74</f>
        <v>0</v>
      </c>
      <c r="E88" s="16" t="str">
        <f>[1]Items!E74</f>
        <v>0</v>
      </c>
      <c r="F88" s="16" t="str">
        <f>[1]Items!F74</f>
        <v>12</v>
      </c>
      <c r="G88" s="16" t="str">
        <f>[1]Items!G74</f>
        <v>16</v>
      </c>
      <c r="H88" s="16" t="str">
        <f>[1]Items!H74</f>
        <v>16</v>
      </c>
      <c r="I88" s="16" t="str">
        <f>[1]Items!I74</f>
        <v>0</v>
      </c>
      <c r="J88" s="16" t="str">
        <f>[1]Items!J74</f>
        <v>0</v>
      </c>
      <c r="K88" s="16" t="str">
        <f>[1]Items!K74</f>
        <v>0</v>
      </c>
      <c r="L88" s="16" t="str">
        <f>[1]Items!L74</f>
        <v>0</v>
      </c>
      <c r="M88" s="16" t="str">
        <f>[1]Items!M74</f>
        <v>0</v>
      </c>
      <c r="N88" s="16" t="str">
        <f>[1]Items!N74</f>
        <v>1</v>
      </c>
      <c r="O88" s="16" t="str">
        <f>[1]Items!O74</f>
        <v>0</v>
      </c>
      <c r="P88" s="16" t="str">
        <f>[1]Items!P74</f>
        <v>false</v>
      </c>
      <c r="Q88" s="16">
        <f>[1]Items!Q74</f>
        <v>0</v>
      </c>
      <c r="R88" s="16">
        <f>[1]Items!R74</f>
        <v>0</v>
      </c>
      <c r="S88" s="16">
        <f>[1]Items!S74</f>
        <v>0</v>
      </c>
      <c r="W88">
        <f>IF('Dota 2'!$C$6, (Items!C88+Items!E88)*Items!$X$2, (Items!C88+Items!D88)*Items!$X$2)</f>
        <v>0</v>
      </c>
      <c r="X88">
        <f t="shared" si="6"/>
        <v>9.5389507154219473</v>
      </c>
      <c r="Y88">
        <f t="shared" si="7"/>
        <v>0</v>
      </c>
      <c r="Z88">
        <f t="shared" si="8"/>
        <v>25.437201907791405</v>
      </c>
      <c r="AA88">
        <f t="shared" si="9"/>
        <v>0</v>
      </c>
      <c r="AB88">
        <f>('Dota 2'!$H$10/$Z$4) * (1-($Y$9*($AA$2+J88))/($Y$7+$Y$9*ABS($AA$2+J88)) - $Z$4)</f>
        <v>0</v>
      </c>
      <c r="AC88">
        <f>IF('Dota 2'!$C$6, K88*M88*(1-$Z$3)*'Dota 2'!$H$8, K88*L88*(1-$Z$3)*'Dota 2'!$H$8)</f>
        <v>0</v>
      </c>
      <c r="AD88">
        <f>N88*O88*'Dota 2'!$H$10</f>
        <v>0</v>
      </c>
      <c r="AE88" s="2">
        <f t="shared" si="10"/>
        <v>34.976152623213352</v>
      </c>
      <c r="AF88" s="17">
        <f t="shared" si="11"/>
        <v>8.5307689324910611E-3</v>
      </c>
    </row>
    <row r="89" spans="1:32" x14ac:dyDescent="0.25">
      <c r="A89" s="6" t="str">
        <f>[1]Items!$A75</f>
        <v>Satchel</v>
      </c>
      <c r="B89" s="16" t="str">
        <f>[1]Items!B75</f>
        <v>0</v>
      </c>
      <c r="C89" s="16" t="str">
        <f>[1]Items!C75</f>
        <v>0</v>
      </c>
      <c r="D89" s="16" t="str">
        <f>[1]Items!D75</f>
        <v>0</v>
      </c>
      <c r="E89" s="16" t="str">
        <f>[1]Items!E75</f>
        <v>0</v>
      </c>
      <c r="F89" s="16" t="str">
        <f>[1]Items!F75</f>
        <v>0</v>
      </c>
      <c r="G89" s="16" t="str">
        <f>[1]Items!G75</f>
        <v>5</v>
      </c>
      <c r="H89" s="16" t="str">
        <f>[1]Items!H75</f>
        <v>5</v>
      </c>
      <c r="I89" s="16" t="str">
        <f>[1]Items!I75</f>
        <v>5</v>
      </c>
      <c r="J89" s="16" t="str">
        <f>[1]Items!J75</f>
        <v>0</v>
      </c>
      <c r="K89" s="16" t="str">
        <f>[1]Items!K75</f>
        <v>0</v>
      </c>
      <c r="L89" s="16" t="str">
        <f>[1]Items!L75</f>
        <v>0</v>
      </c>
      <c r="M89" s="16" t="str">
        <f>[1]Items!M75</f>
        <v>0</v>
      </c>
      <c r="N89" s="16" t="str">
        <f>[1]Items!N75</f>
        <v>1</v>
      </c>
      <c r="O89" s="16" t="str">
        <f>[1]Items!O75</f>
        <v>0</v>
      </c>
      <c r="P89" s="16" t="str">
        <f>[1]Items!P75</f>
        <v>true</v>
      </c>
      <c r="Q89" s="16">
        <f>[1]Items!Q75</f>
        <v>0</v>
      </c>
      <c r="R89" s="16">
        <f>[1]Items!R75</f>
        <v>0</v>
      </c>
      <c r="S89" s="16">
        <f>[1]Items!S75</f>
        <v>0</v>
      </c>
      <c r="W89">
        <f>IF('Dota 2'!$C$6, (Items!C89+Items!E89)*Items!$X$2, (Items!C89+Items!D89)*Items!$X$2)</f>
        <v>0</v>
      </c>
      <c r="X89">
        <f t="shared" si="6"/>
        <v>0</v>
      </c>
      <c r="Y89">
        <f t="shared" si="7"/>
        <v>0</v>
      </c>
      <c r="Z89">
        <f t="shared" si="8"/>
        <v>7.949125596184814</v>
      </c>
      <c r="AA89">
        <f t="shared" si="9"/>
        <v>0</v>
      </c>
      <c r="AB89">
        <f>('Dota 2'!$H$10/$Z$4) * (1-($Y$9*($AA$2+J89))/($Y$7+$Y$9*ABS($AA$2+J89)) - $Z$4)</f>
        <v>0</v>
      </c>
      <c r="AC89">
        <f>IF('Dota 2'!$C$6, K89*M89*(1-$Z$3)*'Dota 2'!$H$8, K89*L89*(1-$Z$3)*'Dota 2'!$H$8)</f>
        <v>0</v>
      </c>
      <c r="AD89">
        <f>N89*O89*'Dota 2'!$H$10</f>
        <v>0</v>
      </c>
      <c r="AE89" s="2">
        <f t="shared" si="10"/>
        <v>7.949125596184814</v>
      </c>
      <c r="AF89" s="17">
        <f t="shared" si="11"/>
        <v>0</v>
      </c>
    </row>
    <row r="90" spans="1:32" x14ac:dyDescent="0.25">
      <c r="A90" s="6" t="str">
        <f>[1]Items!$A76</f>
        <v>Scythe of Vyse</v>
      </c>
      <c r="B90" s="16" t="str">
        <f>[1]Items!B76</f>
        <v>5675</v>
      </c>
      <c r="C90" s="16" t="str">
        <f>[1]Items!C76</f>
        <v>0</v>
      </c>
      <c r="D90" s="16" t="str">
        <f>[1]Items!D76</f>
        <v>0</v>
      </c>
      <c r="E90" s="16" t="str">
        <f>[1]Items!E76</f>
        <v>0</v>
      </c>
      <c r="F90" s="16" t="str">
        <f>[1]Items!F76</f>
        <v>0</v>
      </c>
      <c r="G90" s="16" t="str">
        <f>[1]Items!G76</f>
        <v>10</v>
      </c>
      <c r="H90" s="16" t="str">
        <f>[1]Items!H76</f>
        <v>10</v>
      </c>
      <c r="I90" s="16" t="str">
        <f>[1]Items!I76</f>
        <v>35</v>
      </c>
      <c r="J90" s="16" t="str">
        <f>[1]Items!J76</f>
        <v>0</v>
      </c>
      <c r="K90" s="16" t="str">
        <f>[1]Items!K76</f>
        <v>0</v>
      </c>
      <c r="L90" s="16" t="str">
        <f>[1]Items!L76</f>
        <v>0</v>
      </c>
      <c r="M90" s="16" t="str">
        <f>[1]Items!M76</f>
        <v>0</v>
      </c>
      <c r="N90" s="16" t="str">
        <f>[1]Items!N76</f>
        <v>1</v>
      </c>
      <c r="O90" s="16" t="str">
        <f>[1]Items!O76</f>
        <v>0</v>
      </c>
      <c r="P90" s="16" t="str">
        <f>[1]Items!P76</f>
        <v>false</v>
      </c>
      <c r="Q90" s="16">
        <f>[1]Items!Q76</f>
        <v>0</v>
      </c>
      <c r="R90" s="16">
        <f>[1]Items!R76</f>
        <v>0</v>
      </c>
      <c r="S90" s="16">
        <f>[1]Items!S76</f>
        <v>0</v>
      </c>
      <c r="W90">
        <f>IF('Dota 2'!$C$6, (Items!C90+Items!E90)*Items!$X$2, (Items!C90+Items!D90)*Items!$X$2)</f>
        <v>0</v>
      </c>
      <c r="X90">
        <f t="shared" si="6"/>
        <v>0</v>
      </c>
      <c r="Y90">
        <f t="shared" si="7"/>
        <v>0</v>
      </c>
      <c r="Z90">
        <f t="shared" si="8"/>
        <v>15.898251192369628</v>
      </c>
      <c r="AA90">
        <f t="shared" si="9"/>
        <v>0</v>
      </c>
      <c r="AB90">
        <f>('Dota 2'!$H$10/$Z$4) * (1-($Y$9*($AA$2+J90))/($Y$7+$Y$9*ABS($AA$2+J90)) - $Z$4)</f>
        <v>0</v>
      </c>
      <c r="AC90">
        <f>IF('Dota 2'!$C$6, K90*M90*(1-$Z$3)*'Dota 2'!$H$8, K90*L90*(1-$Z$3)*'Dota 2'!$H$8)</f>
        <v>0</v>
      </c>
      <c r="AD90">
        <f>N90*O90*'Dota 2'!$H$10</f>
        <v>0</v>
      </c>
      <c r="AE90" s="2">
        <f t="shared" si="10"/>
        <v>15.898251192369628</v>
      </c>
      <c r="AF90" s="17">
        <f t="shared" si="11"/>
        <v>2.8014539546025777E-3</v>
      </c>
    </row>
    <row r="91" spans="1:32" x14ac:dyDescent="0.25">
      <c r="A91" s="6" t="str">
        <f>[1]Items!$A77</f>
        <v>Shiva's Guard</v>
      </c>
      <c r="B91" s="16" t="str">
        <f>[1]Items!B77</f>
        <v>4850</v>
      </c>
      <c r="C91" s="16" t="str">
        <f>[1]Items!C77</f>
        <v>0</v>
      </c>
      <c r="D91" s="16" t="str">
        <f>[1]Items!D77</f>
        <v>0</v>
      </c>
      <c r="E91" s="16" t="str">
        <f>[1]Items!E77</f>
        <v>0</v>
      </c>
      <c r="F91" s="16" t="str">
        <f>[1]Items!F77</f>
        <v>0</v>
      </c>
      <c r="G91" s="16" t="str">
        <f>[1]Items!G77</f>
        <v>0</v>
      </c>
      <c r="H91" s="16" t="str">
        <f>[1]Items!H77</f>
        <v>0</v>
      </c>
      <c r="I91" s="16" t="str">
        <f>[1]Items!I77</f>
        <v>30</v>
      </c>
      <c r="J91" s="16" t="str">
        <f>[1]Items!J77</f>
        <v>0</v>
      </c>
      <c r="K91" s="16" t="str">
        <f>[1]Items!K77</f>
        <v>0</v>
      </c>
      <c r="L91" s="16" t="str">
        <f>[1]Items!L77</f>
        <v>0</v>
      </c>
      <c r="M91" s="16" t="str">
        <f>[1]Items!M77</f>
        <v>0</v>
      </c>
      <c r="N91" s="16" t="str">
        <f>[1]Items!N77</f>
        <v>1</v>
      </c>
      <c r="O91" s="16" t="str">
        <f>[1]Items!O77</f>
        <v>0</v>
      </c>
      <c r="P91" s="16" t="str">
        <f>[1]Items!P77</f>
        <v>false</v>
      </c>
      <c r="Q91" s="16">
        <f>[1]Items!Q77</f>
        <v>0</v>
      </c>
      <c r="R91" s="16">
        <f>[1]Items!R77</f>
        <v>0</v>
      </c>
      <c r="S91" s="16">
        <f>[1]Items!S77</f>
        <v>0</v>
      </c>
      <c r="W91">
        <f>IF('Dota 2'!$C$6, (Items!C91+Items!E91)*Items!$X$2, (Items!C91+Items!D91)*Items!$X$2)</f>
        <v>0</v>
      </c>
      <c r="X91">
        <f t="shared" si="6"/>
        <v>0</v>
      </c>
      <c r="Y91">
        <f t="shared" si="7"/>
        <v>0</v>
      </c>
      <c r="Z91">
        <f t="shared" si="8"/>
        <v>0</v>
      </c>
      <c r="AA91">
        <f t="shared" si="9"/>
        <v>0</v>
      </c>
      <c r="AB91">
        <f>('Dota 2'!$H$10/$Z$4) * (1-($Y$9*($AA$2+J91))/($Y$7+$Y$9*ABS($AA$2+J91)) - $Z$4)</f>
        <v>0</v>
      </c>
      <c r="AC91">
        <f>IF('Dota 2'!$C$6, K91*M91*(1-$Z$3)*'Dota 2'!$H$8, K91*L91*(1-$Z$3)*'Dota 2'!$H$8)</f>
        <v>0</v>
      </c>
      <c r="AD91">
        <f>N91*O91*'Dota 2'!$H$10</f>
        <v>0</v>
      </c>
      <c r="AE91" s="2">
        <f t="shared" si="10"/>
        <v>0</v>
      </c>
      <c r="AF91" s="17">
        <f t="shared" si="11"/>
        <v>0</v>
      </c>
    </row>
    <row r="92" spans="1:32" x14ac:dyDescent="0.25">
      <c r="A92" s="6" t="str">
        <f>[1]Items!$A78</f>
        <v>Silver Edge</v>
      </c>
      <c r="B92" s="16" t="str">
        <f>[1]Items!B78</f>
        <v>5450</v>
      </c>
      <c r="C92" s="16" t="str">
        <f>[1]Items!C78</f>
        <v>52</v>
      </c>
      <c r="D92" s="16" t="str">
        <f>[1]Items!D78</f>
        <v>0</v>
      </c>
      <c r="E92" s="16" t="str">
        <f>[1]Items!E78</f>
        <v>0</v>
      </c>
      <c r="F92" s="16" t="str">
        <f>[1]Items!F78</f>
        <v>35</v>
      </c>
      <c r="G92" s="16" t="str">
        <f>[1]Items!G78</f>
        <v>0</v>
      </c>
      <c r="H92" s="16" t="str">
        <f>[1]Items!H78</f>
        <v>0</v>
      </c>
      <c r="I92" s="16" t="str">
        <f>[1]Items!I78</f>
        <v>0</v>
      </c>
      <c r="J92" s="16" t="str">
        <f>[1]Items!J78</f>
        <v>0</v>
      </c>
      <c r="K92" s="16" t="str">
        <f>[1]Items!K78</f>
        <v>0</v>
      </c>
      <c r="L92" s="16" t="str">
        <f>[1]Items!L78</f>
        <v>0</v>
      </c>
      <c r="M92" s="16" t="str">
        <f>[1]Items!M78</f>
        <v>0</v>
      </c>
      <c r="N92" s="16" t="str">
        <f>[1]Items!N78</f>
        <v>1.6</v>
      </c>
      <c r="O92" s="16" t="str">
        <f>[1]Items!O78</f>
        <v>0.3</v>
      </c>
      <c r="P92" s="16" t="str">
        <f>[1]Items!P78</f>
        <v>false</v>
      </c>
      <c r="Q92" s="16">
        <f>[1]Items!Q78</f>
        <v>0</v>
      </c>
      <c r="R92" s="16">
        <f>[1]Items!R78</f>
        <v>0</v>
      </c>
      <c r="S92" s="16">
        <f>[1]Items!S78</f>
        <v>0</v>
      </c>
      <c r="W92">
        <f>IF('Dota 2'!$C$6, (Items!C92+Items!E92)*Items!$X$2, (Items!C92+Items!D92)*Items!$X$2)</f>
        <v>41.335453100160294</v>
      </c>
      <c r="X92">
        <f t="shared" si="6"/>
        <v>27.821939586647346</v>
      </c>
      <c r="Y92">
        <f t="shared" si="7"/>
        <v>0</v>
      </c>
      <c r="Z92">
        <f t="shared" si="8"/>
        <v>0</v>
      </c>
      <c r="AA92">
        <f t="shared" si="9"/>
        <v>0</v>
      </c>
      <c r="AB92">
        <f>('Dota 2'!$H$10/$Z$4) * (1-($Y$9*($AA$2+J92))/($Y$7+$Y$9*ABS($AA$2+J92)) - $Z$4)</f>
        <v>0</v>
      </c>
      <c r="AC92">
        <f>IF('Dota 2'!$C$6, K92*M92*(1-$Z$3)*'Dota 2'!$H$8, K92*L92*(1-$Z$3)*'Dota 2'!$H$8)</f>
        <v>0</v>
      </c>
      <c r="AD92">
        <f>N92*O92*'Dota 2'!$H$10</f>
        <v>76.31160572337042</v>
      </c>
      <c r="AE92" s="2">
        <f t="shared" si="10"/>
        <v>145.46899841017807</v>
      </c>
      <c r="AF92" s="17">
        <f t="shared" si="11"/>
        <v>2.6691559341317079E-2</v>
      </c>
    </row>
    <row r="93" spans="1:32" x14ac:dyDescent="0.25">
      <c r="A93" s="6" t="str">
        <f>[1]Items!$A79</f>
        <v>Slippers of Agility</v>
      </c>
      <c r="B93" s="16" t="str">
        <f>[1]Items!B79</f>
        <v>140</v>
      </c>
      <c r="C93" s="16" t="str">
        <f>[1]Items!C79</f>
        <v>0</v>
      </c>
      <c r="D93" s="16" t="str">
        <f>[1]Items!D79</f>
        <v>0</v>
      </c>
      <c r="E93" s="16" t="str">
        <f>[1]Items!E79</f>
        <v>0</v>
      </c>
      <c r="F93" s="16" t="str">
        <f>[1]Items!F79</f>
        <v>0</v>
      </c>
      <c r="G93" s="16" t="str">
        <f>[1]Items!G79</f>
        <v>0</v>
      </c>
      <c r="H93" s="16" t="str">
        <f>[1]Items!H79</f>
        <v>3</v>
      </c>
      <c r="I93" s="16" t="str">
        <f>[1]Items!I79</f>
        <v>0</v>
      </c>
      <c r="J93" s="16" t="str">
        <f>[1]Items!J79</f>
        <v>0</v>
      </c>
      <c r="K93" s="16" t="str">
        <f>[1]Items!K79</f>
        <v>0</v>
      </c>
      <c r="L93" s="16" t="str">
        <f>[1]Items!L79</f>
        <v>0</v>
      </c>
      <c r="M93" s="16" t="str">
        <f>[1]Items!M79</f>
        <v>0</v>
      </c>
      <c r="N93" s="16" t="str">
        <f>[1]Items!N79</f>
        <v>1</v>
      </c>
      <c r="O93" s="16" t="str">
        <f>[1]Items!O79</f>
        <v>0</v>
      </c>
      <c r="P93" s="16" t="str">
        <f>[1]Items!P79</f>
        <v>false</v>
      </c>
      <c r="Q93" s="16">
        <f>[1]Items!Q79</f>
        <v>0</v>
      </c>
      <c r="R93" s="16">
        <f>[1]Items!R79</f>
        <v>0</v>
      </c>
      <c r="S93" s="16">
        <f>[1]Items!S79</f>
        <v>0</v>
      </c>
      <c r="W93">
        <f>IF('Dota 2'!$C$6, (Items!C93+Items!E93)*Items!$X$2, (Items!C93+Items!D93)*Items!$X$2)</f>
        <v>0</v>
      </c>
      <c r="X93">
        <f t="shared" si="6"/>
        <v>0</v>
      </c>
      <c r="Y93">
        <f t="shared" si="7"/>
        <v>0</v>
      </c>
      <c r="Z93">
        <f t="shared" si="8"/>
        <v>4.7694753577108884</v>
      </c>
      <c r="AA93">
        <f t="shared" si="9"/>
        <v>0</v>
      </c>
      <c r="AB93">
        <f>('Dota 2'!$H$10/$Z$4) * (1-($Y$9*($AA$2+J93))/($Y$7+$Y$9*ABS($AA$2+J93)) - $Z$4)</f>
        <v>0</v>
      </c>
      <c r="AC93">
        <f>IF('Dota 2'!$C$6, K93*M93*(1-$Z$3)*'Dota 2'!$H$8, K93*L93*(1-$Z$3)*'Dota 2'!$H$8)</f>
        <v>0</v>
      </c>
      <c r="AD93">
        <f>N93*O93*'Dota 2'!$H$10</f>
        <v>0</v>
      </c>
      <c r="AE93" s="2">
        <f t="shared" si="10"/>
        <v>4.7694753577108884</v>
      </c>
      <c r="AF93" s="17">
        <f t="shared" si="11"/>
        <v>3.4067681126506343E-2</v>
      </c>
    </row>
    <row r="94" spans="1:32" x14ac:dyDescent="0.25">
      <c r="A94" s="6" t="str">
        <f>[1]Items!$A80</f>
        <v>Solar Crest</v>
      </c>
      <c r="B94" s="16" t="str">
        <f>[1]Items!B80</f>
        <v>2625</v>
      </c>
      <c r="C94" s="16" t="str">
        <f>[1]Items!C80</f>
        <v>0</v>
      </c>
      <c r="D94" s="16" t="str">
        <f>[1]Items!D80</f>
        <v>0</v>
      </c>
      <c r="E94" s="16" t="str">
        <f>[1]Items!E80</f>
        <v>0</v>
      </c>
      <c r="F94" s="16" t="str">
        <f>[1]Items!F80</f>
        <v>0</v>
      </c>
      <c r="G94" s="16" t="str">
        <f>[1]Items!G80</f>
        <v>5</v>
      </c>
      <c r="H94" s="16" t="str">
        <f>[1]Items!H80</f>
        <v>5</v>
      </c>
      <c r="I94" s="16" t="str">
        <f>[1]Items!I80</f>
        <v>5</v>
      </c>
      <c r="J94" s="16" t="str">
        <f>[1]Items!J80</f>
        <v>0</v>
      </c>
      <c r="K94" s="16" t="str">
        <f>[1]Items!K80</f>
        <v>0</v>
      </c>
      <c r="L94" s="16" t="str">
        <f>[1]Items!L80</f>
        <v>0</v>
      </c>
      <c r="M94" s="16" t="str">
        <f>[1]Items!M80</f>
        <v>0</v>
      </c>
      <c r="N94" s="16" t="str">
        <f>[1]Items!N80</f>
        <v>1</v>
      </c>
      <c r="O94" s="16" t="str">
        <f>[1]Items!O80</f>
        <v>0</v>
      </c>
      <c r="P94" s="16" t="str">
        <f>[1]Items!P80</f>
        <v>false</v>
      </c>
      <c r="Q94" s="16">
        <f>[1]Items!Q80</f>
        <v>0</v>
      </c>
      <c r="R94" s="16">
        <f>[1]Items!R80</f>
        <v>0</v>
      </c>
      <c r="S94" s="16">
        <f>[1]Items!S80</f>
        <v>0</v>
      </c>
      <c r="W94">
        <f>IF('Dota 2'!$C$6, (Items!C94+Items!E94)*Items!$X$2, (Items!C94+Items!D94)*Items!$X$2)</f>
        <v>0</v>
      </c>
      <c r="X94">
        <f t="shared" si="6"/>
        <v>0</v>
      </c>
      <c r="Y94">
        <f t="shared" si="7"/>
        <v>0</v>
      </c>
      <c r="Z94">
        <f t="shared" si="8"/>
        <v>7.949125596184814</v>
      </c>
      <c r="AA94">
        <f t="shared" si="9"/>
        <v>0</v>
      </c>
      <c r="AB94">
        <f>('Dota 2'!$H$10/$Z$4) * (1-($Y$9*($AA$2+J94))/($Y$7+$Y$9*ABS($AA$2+J94)) - $Z$4)</f>
        <v>0</v>
      </c>
      <c r="AC94">
        <f>IF('Dota 2'!$C$6, K94*M94*(1-$Z$3)*'Dota 2'!$H$8, K94*L94*(1-$Z$3)*'Dota 2'!$H$8)</f>
        <v>0</v>
      </c>
      <c r="AD94">
        <f>N94*O94*'Dota 2'!$H$10</f>
        <v>0</v>
      </c>
      <c r="AE94" s="2">
        <f t="shared" si="10"/>
        <v>7.949125596184814</v>
      </c>
      <c r="AF94" s="17">
        <f t="shared" si="11"/>
        <v>3.0282383223561196E-3</v>
      </c>
    </row>
    <row r="95" spans="1:32" x14ac:dyDescent="0.25">
      <c r="A95" s="6" t="str">
        <f>[1]Items!$A81</f>
        <v>Linken's Sphere</v>
      </c>
      <c r="B95" s="16" t="str">
        <f>[1]Items!B81</f>
        <v>4600</v>
      </c>
      <c r="C95" s="16" t="str">
        <f>[1]Items!C81</f>
        <v>0</v>
      </c>
      <c r="D95" s="16" t="str">
        <f>[1]Items!D81</f>
        <v>0</v>
      </c>
      <c r="E95" s="16" t="str">
        <f>[1]Items!E81</f>
        <v>0</v>
      </c>
      <c r="F95" s="16" t="str">
        <f>[1]Items!F81</f>
        <v>0</v>
      </c>
      <c r="G95" s="16" t="str">
        <f>[1]Items!G81</f>
        <v>16</v>
      </c>
      <c r="H95" s="16" t="str">
        <f>[1]Items!H81</f>
        <v>16</v>
      </c>
      <c r="I95" s="16" t="str">
        <f>[1]Items!I81</f>
        <v>16</v>
      </c>
      <c r="J95" s="16" t="str">
        <f>[1]Items!J81</f>
        <v>0</v>
      </c>
      <c r="K95" s="16" t="str">
        <f>[1]Items!K81</f>
        <v>0</v>
      </c>
      <c r="L95" s="16" t="str">
        <f>[1]Items!L81</f>
        <v>0</v>
      </c>
      <c r="M95" s="16" t="str">
        <f>[1]Items!M81</f>
        <v>0</v>
      </c>
      <c r="N95" s="16" t="str">
        <f>[1]Items!N81</f>
        <v>1</v>
      </c>
      <c r="O95" s="16" t="str">
        <f>[1]Items!O81</f>
        <v>0</v>
      </c>
      <c r="P95" s="16" t="str">
        <f>[1]Items!P81</f>
        <v>false</v>
      </c>
      <c r="Q95" s="16">
        <f>[1]Items!Q81</f>
        <v>0</v>
      </c>
      <c r="R95" s="16">
        <f>[1]Items!R81</f>
        <v>0</v>
      </c>
      <c r="S95" s="16">
        <f>[1]Items!S81</f>
        <v>0</v>
      </c>
      <c r="W95">
        <f>IF('Dota 2'!$C$6, (Items!C95+Items!E95)*Items!$X$2, (Items!C95+Items!D95)*Items!$X$2)</f>
        <v>0</v>
      </c>
      <c r="X95">
        <f t="shared" si="6"/>
        <v>0</v>
      </c>
      <c r="Y95">
        <f t="shared" si="7"/>
        <v>0</v>
      </c>
      <c r="Z95">
        <f t="shared" si="8"/>
        <v>25.437201907791405</v>
      </c>
      <c r="AA95">
        <f t="shared" si="9"/>
        <v>0</v>
      </c>
      <c r="AB95">
        <f>('Dota 2'!$H$10/$Z$4) * (1-($Y$9*($AA$2+J95))/($Y$7+$Y$9*ABS($AA$2+J95)) - $Z$4)</f>
        <v>0</v>
      </c>
      <c r="AC95">
        <f>IF('Dota 2'!$C$6, K95*M95*(1-$Z$3)*'Dota 2'!$H$8, K95*L95*(1-$Z$3)*'Dota 2'!$H$8)</f>
        <v>0</v>
      </c>
      <c r="AD95">
        <f>N95*O95*'Dota 2'!$H$10</f>
        <v>0</v>
      </c>
      <c r="AE95" s="2">
        <f t="shared" si="10"/>
        <v>25.437201907791405</v>
      </c>
      <c r="AF95" s="17">
        <f t="shared" si="11"/>
        <v>5.5298265016937836E-3</v>
      </c>
    </row>
    <row r="96" spans="1:32" x14ac:dyDescent="0.25">
      <c r="A96" s="6" t="str">
        <f>[1]Items!$A82</f>
        <v>Spirit Vessel</v>
      </c>
      <c r="B96" s="16" t="str">
        <f>[1]Items!B82</f>
        <v>2980</v>
      </c>
      <c r="C96" s="16" t="str">
        <f>[1]Items!C82</f>
        <v>0</v>
      </c>
      <c r="D96" s="16" t="str">
        <f>[1]Items!D82</f>
        <v>0</v>
      </c>
      <c r="E96" s="16" t="str">
        <f>[1]Items!E82</f>
        <v>0</v>
      </c>
      <c r="F96" s="16" t="str">
        <f>[1]Items!F82</f>
        <v>0</v>
      </c>
      <c r="G96" s="16" t="str">
        <f>[1]Items!G82</f>
        <v>2</v>
      </c>
      <c r="H96" s="16" t="str">
        <f>[1]Items!H82</f>
        <v>2</v>
      </c>
      <c r="I96" s="16" t="str">
        <f>[1]Items!I82</f>
        <v>2</v>
      </c>
      <c r="J96" s="16" t="str">
        <f>[1]Items!J82</f>
        <v>0</v>
      </c>
      <c r="K96" s="16" t="str">
        <f>[1]Items!K82</f>
        <v>0</v>
      </c>
      <c r="L96" s="16" t="str">
        <f>[1]Items!L82</f>
        <v>0</v>
      </c>
      <c r="M96" s="16" t="str">
        <f>[1]Items!M82</f>
        <v>0</v>
      </c>
      <c r="N96" s="16" t="str">
        <f>[1]Items!N82</f>
        <v>1</v>
      </c>
      <c r="O96" s="16" t="str">
        <f>[1]Items!O82</f>
        <v>0</v>
      </c>
      <c r="P96" s="16" t="str">
        <f>[1]Items!P82</f>
        <v>false</v>
      </c>
      <c r="Q96" s="16">
        <f>[1]Items!Q82</f>
        <v>0</v>
      </c>
      <c r="R96" s="16">
        <f>[1]Items!R82</f>
        <v>0</v>
      </c>
      <c r="S96" s="16">
        <f>[1]Items!S82</f>
        <v>0</v>
      </c>
      <c r="W96">
        <f>IF('Dota 2'!$C$6, (Items!C96+Items!E96)*Items!$X$2, (Items!C96+Items!D96)*Items!$X$2)</f>
        <v>0</v>
      </c>
      <c r="X96">
        <f t="shared" si="6"/>
        <v>0</v>
      </c>
      <c r="Y96">
        <f t="shared" si="7"/>
        <v>0</v>
      </c>
      <c r="Z96">
        <f t="shared" si="8"/>
        <v>3.1796502384739256</v>
      </c>
      <c r="AA96">
        <f t="shared" si="9"/>
        <v>0</v>
      </c>
      <c r="AB96">
        <f>('Dota 2'!$H$10/$Z$4) * (1-($Y$9*($AA$2+J96))/($Y$7+$Y$9*ABS($AA$2+J96)) - $Z$4)</f>
        <v>0</v>
      </c>
      <c r="AC96">
        <f>IF('Dota 2'!$C$6, K96*M96*(1-$Z$3)*'Dota 2'!$H$8, K96*L96*(1-$Z$3)*'Dota 2'!$H$8)</f>
        <v>0</v>
      </c>
      <c r="AD96">
        <f>N96*O96*'Dota 2'!$H$10</f>
        <v>0</v>
      </c>
      <c r="AE96" s="2">
        <f t="shared" si="10"/>
        <v>3.1796502384739256</v>
      </c>
      <c r="AF96" s="17">
        <f t="shared" si="11"/>
        <v>1.0669967243201093E-3</v>
      </c>
    </row>
    <row r="97" spans="1:32" x14ac:dyDescent="0.25">
      <c r="A97" s="6" t="str">
        <f>[1]Items!$A83</f>
        <v>Staff of Wizardry</v>
      </c>
      <c r="B97" s="16" t="str">
        <f>[1]Items!B83</f>
        <v>1000</v>
      </c>
      <c r="C97" s="16" t="str">
        <f>[1]Items!C83</f>
        <v>0</v>
      </c>
      <c r="D97" s="16" t="str">
        <f>[1]Items!D83</f>
        <v>0</v>
      </c>
      <c r="E97" s="16" t="str">
        <f>[1]Items!E83</f>
        <v>0</v>
      </c>
      <c r="F97" s="16" t="str">
        <f>[1]Items!F83</f>
        <v>0</v>
      </c>
      <c r="G97" s="16" t="str">
        <f>[1]Items!G83</f>
        <v>0</v>
      </c>
      <c r="H97" s="16" t="str">
        <f>[1]Items!H83</f>
        <v>0</v>
      </c>
      <c r="I97" s="16" t="str">
        <f>[1]Items!I83</f>
        <v>10</v>
      </c>
      <c r="J97" s="16" t="str">
        <f>[1]Items!J83</f>
        <v>0</v>
      </c>
      <c r="K97" s="16" t="str">
        <f>[1]Items!K83</f>
        <v>0</v>
      </c>
      <c r="L97" s="16" t="str">
        <f>[1]Items!L83</f>
        <v>0</v>
      </c>
      <c r="M97" s="16" t="str">
        <f>[1]Items!M83</f>
        <v>0</v>
      </c>
      <c r="N97" s="16" t="str">
        <f>[1]Items!N83</f>
        <v>1</v>
      </c>
      <c r="O97" s="16" t="str">
        <f>[1]Items!O83</f>
        <v>0</v>
      </c>
      <c r="P97" s="16" t="str">
        <f>[1]Items!P83</f>
        <v>false</v>
      </c>
      <c r="Q97" s="16">
        <f>[1]Items!Q83</f>
        <v>0</v>
      </c>
      <c r="R97" s="16">
        <f>[1]Items!R83</f>
        <v>0</v>
      </c>
      <c r="S97" s="16">
        <f>[1]Items!S83</f>
        <v>0</v>
      </c>
      <c r="W97">
        <f>IF('Dota 2'!$C$6, (Items!C97+Items!E97)*Items!$X$2, (Items!C97+Items!D97)*Items!$X$2)</f>
        <v>0</v>
      </c>
      <c r="X97">
        <f t="shared" si="6"/>
        <v>0</v>
      </c>
      <c r="Y97">
        <f t="shared" si="7"/>
        <v>0</v>
      </c>
      <c r="Z97">
        <f t="shared" si="8"/>
        <v>0</v>
      </c>
      <c r="AA97">
        <f t="shared" si="9"/>
        <v>0</v>
      </c>
      <c r="AB97">
        <f>('Dota 2'!$H$10/$Z$4) * (1-($Y$9*($AA$2+J97))/($Y$7+$Y$9*ABS($AA$2+J97)) - $Z$4)</f>
        <v>0</v>
      </c>
      <c r="AC97">
        <f>IF('Dota 2'!$C$6, K97*M97*(1-$Z$3)*'Dota 2'!$H$8, K97*L97*(1-$Z$3)*'Dota 2'!$H$8)</f>
        <v>0</v>
      </c>
      <c r="AD97">
        <f>N97*O97*'Dota 2'!$H$10</f>
        <v>0</v>
      </c>
      <c r="AE97" s="2">
        <f t="shared" si="10"/>
        <v>0</v>
      </c>
      <c r="AF97" s="17">
        <f t="shared" si="11"/>
        <v>0</v>
      </c>
    </row>
    <row r="98" spans="1:32" x14ac:dyDescent="0.25">
      <c r="A98" s="6" t="str">
        <f>[1]Items!$A84</f>
        <v>Third Eye</v>
      </c>
      <c r="B98" s="16" t="str">
        <f>[1]Items!B84</f>
        <v>0</v>
      </c>
      <c r="C98" s="16" t="str">
        <f>[1]Items!C84</f>
        <v>0</v>
      </c>
      <c r="D98" s="16" t="str">
        <f>[1]Items!D84</f>
        <v>0</v>
      </c>
      <c r="E98" s="16" t="str">
        <f>[1]Items!E84</f>
        <v>0</v>
      </c>
      <c r="F98" s="16" t="str">
        <f>[1]Items!F84</f>
        <v>0</v>
      </c>
      <c r="G98" s="16" t="str">
        <f>[1]Items!G84</f>
        <v>7</v>
      </c>
      <c r="H98" s="16" t="str">
        <f>[1]Items!H84</f>
        <v>7</v>
      </c>
      <c r="I98" s="16" t="str">
        <f>[1]Items!I84</f>
        <v>7</v>
      </c>
      <c r="J98" s="16" t="str">
        <f>[1]Items!J84</f>
        <v>0</v>
      </c>
      <c r="K98" s="16" t="str">
        <f>[1]Items!K84</f>
        <v>0</v>
      </c>
      <c r="L98" s="16" t="str">
        <f>[1]Items!L84</f>
        <v>0</v>
      </c>
      <c r="M98" s="16" t="str">
        <f>[1]Items!M84</f>
        <v>0</v>
      </c>
      <c r="N98" s="16" t="str">
        <f>[1]Items!N84</f>
        <v>1</v>
      </c>
      <c r="O98" s="16" t="str">
        <f>[1]Items!O84</f>
        <v>0</v>
      </c>
      <c r="P98" s="16" t="str">
        <f>[1]Items!P84</f>
        <v>true</v>
      </c>
      <c r="Q98" s="16">
        <f>[1]Items!Q84</f>
        <v>0</v>
      </c>
      <c r="R98" s="16">
        <f>[1]Items!R84</f>
        <v>0</v>
      </c>
      <c r="S98" s="16">
        <f>[1]Items!S84</f>
        <v>0</v>
      </c>
      <c r="W98">
        <f>IF('Dota 2'!$C$6, (Items!C98+Items!E98)*Items!$X$2, (Items!C98+Items!D98)*Items!$X$2)</f>
        <v>0</v>
      </c>
      <c r="X98">
        <f t="shared" si="6"/>
        <v>0</v>
      </c>
      <c r="Y98">
        <f t="shared" si="7"/>
        <v>0</v>
      </c>
      <c r="Z98">
        <f t="shared" si="8"/>
        <v>11.12877583465874</v>
      </c>
      <c r="AA98">
        <f t="shared" si="9"/>
        <v>0</v>
      </c>
      <c r="AB98">
        <f>('Dota 2'!$H$10/$Z$4) * (1-($Y$9*($AA$2+J98))/($Y$7+$Y$9*ABS($AA$2+J98)) - $Z$4)</f>
        <v>0</v>
      </c>
      <c r="AC98">
        <f>IF('Dota 2'!$C$6, K98*M98*(1-$Z$3)*'Dota 2'!$H$8, K98*L98*(1-$Z$3)*'Dota 2'!$H$8)</f>
        <v>0</v>
      </c>
      <c r="AD98">
        <f>N98*O98*'Dota 2'!$H$10</f>
        <v>0</v>
      </c>
      <c r="AE98" s="2">
        <f t="shared" si="10"/>
        <v>11.12877583465874</v>
      </c>
      <c r="AF98" s="17">
        <f t="shared" si="11"/>
        <v>0</v>
      </c>
    </row>
    <row r="99" spans="1:32" x14ac:dyDescent="0.25">
      <c r="A99" s="6" t="str">
        <f>[1]Items!$A85</f>
        <v>Trident</v>
      </c>
      <c r="B99" s="16" t="str">
        <f>[1]Items!B85</f>
        <v>0</v>
      </c>
      <c r="C99" s="16" t="str">
        <f>[1]Items!C85</f>
        <v>0</v>
      </c>
      <c r="D99" s="16" t="str">
        <f>[1]Items!D85</f>
        <v>0</v>
      </c>
      <c r="E99" s="16" t="str">
        <f>[1]Items!E85</f>
        <v>0</v>
      </c>
      <c r="F99" s="16" t="str">
        <f>[1]Items!F85</f>
        <v>30</v>
      </c>
      <c r="G99" s="16" t="str">
        <f>[1]Items!G85</f>
        <v>30</v>
      </c>
      <c r="H99" s="16" t="str">
        <f>[1]Items!H85</f>
        <v>30</v>
      </c>
      <c r="I99" s="16" t="str">
        <f>[1]Items!I85</f>
        <v>30</v>
      </c>
      <c r="J99" s="16" t="str">
        <f>[1]Items!J85</f>
        <v>0</v>
      </c>
      <c r="K99" s="16" t="str">
        <f>[1]Items!K85</f>
        <v>0</v>
      </c>
      <c r="L99" s="16" t="str">
        <f>[1]Items!L85</f>
        <v>0</v>
      </c>
      <c r="M99" s="16" t="str">
        <f>[1]Items!M85</f>
        <v>0</v>
      </c>
      <c r="N99" s="16" t="str">
        <f>[1]Items!N85</f>
        <v>1</v>
      </c>
      <c r="O99" s="16" t="str">
        <f>[1]Items!O85</f>
        <v>0</v>
      </c>
      <c r="P99" s="16" t="str">
        <f>[1]Items!P85</f>
        <v>true</v>
      </c>
      <c r="Q99" s="16">
        <f>[1]Items!Q85</f>
        <v>0</v>
      </c>
      <c r="R99" s="16">
        <f>[1]Items!R85</f>
        <v>0</v>
      </c>
      <c r="S99" s="16">
        <f>[1]Items!S85</f>
        <v>0</v>
      </c>
      <c r="W99">
        <f>IF('Dota 2'!$C$6, (Items!C99+Items!E99)*Items!$X$2, (Items!C99+Items!D99)*Items!$X$2)</f>
        <v>0</v>
      </c>
      <c r="X99">
        <f t="shared" si="6"/>
        <v>23.847376788554868</v>
      </c>
      <c r="Y99">
        <f t="shared" si="7"/>
        <v>0</v>
      </c>
      <c r="Z99">
        <f t="shared" si="8"/>
        <v>47.694753577108884</v>
      </c>
      <c r="AA99">
        <f t="shared" si="9"/>
        <v>0</v>
      </c>
      <c r="AB99">
        <f>('Dota 2'!$H$10/$Z$4) * (1-($Y$9*($AA$2+J99))/($Y$7+$Y$9*ABS($AA$2+J99)) - $Z$4)</f>
        <v>0</v>
      </c>
      <c r="AC99">
        <f>IF('Dota 2'!$C$6, K99*M99*(1-$Z$3)*'Dota 2'!$H$8, K99*L99*(1-$Z$3)*'Dota 2'!$H$8)</f>
        <v>0</v>
      </c>
      <c r="AD99">
        <f>N99*O99*'Dota 2'!$H$10</f>
        <v>0</v>
      </c>
      <c r="AE99" s="2">
        <f t="shared" si="10"/>
        <v>71.542130365663752</v>
      </c>
      <c r="AF99" s="17">
        <f t="shared" si="11"/>
        <v>0</v>
      </c>
    </row>
    <row r="100" spans="1:32" x14ac:dyDescent="0.25">
      <c r="A100" s="6" t="str">
        <f>[1]Items!$A86</f>
        <v>Ultimate Orb</v>
      </c>
      <c r="B100" s="16" t="str">
        <f>[1]Items!B86</f>
        <v>2050</v>
      </c>
      <c r="C100" s="16" t="str">
        <f>[1]Items!C86</f>
        <v>0</v>
      </c>
      <c r="D100" s="16" t="str">
        <f>[1]Items!D86</f>
        <v>0</v>
      </c>
      <c r="E100" s="16" t="str">
        <f>[1]Items!E86</f>
        <v>0</v>
      </c>
      <c r="F100" s="16" t="str">
        <f>[1]Items!F86</f>
        <v>0</v>
      </c>
      <c r="G100" s="16" t="str">
        <f>[1]Items!G86</f>
        <v>10</v>
      </c>
      <c r="H100" s="16" t="str">
        <f>[1]Items!H86</f>
        <v>10</v>
      </c>
      <c r="I100" s="16" t="str">
        <f>[1]Items!I86</f>
        <v>10</v>
      </c>
      <c r="J100" s="16" t="str">
        <f>[1]Items!J86</f>
        <v>0</v>
      </c>
      <c r="K100" s="16" t="str">
        <f>[1]Items!K86</f>
        <v>0</v>
      </c>
      <c r="L100" s="16" t="str">
        <f>[1]Items!L86</f>
        <v>0</v>
      </c>
      <c r="M100" s="16" t="str">
        <f>[1]Items!M86</f>
        <v>0</v>
      </c>
      <c r="N100" s="16" t="str">
        <f>[1]Items!N86</f>
        <v>1</v>
      </c>
      <c r="O100" s="16" t="str">
        <f>[1]Items!O86</f>
        <v>0</v>
      </c>
      <c r="P100" s="16" t="str">
        <f>[1]Items!P86</f>
        <v>false</v>
      </c>
      <c r="Q100" s="16">
        <f>[1]Items!Q86</f>
        <v>0</v>
      </c>
      <c r="R100" s="16">
        <f>[1]Items!R86</f>
        <v>0</v>
      </c>
      <c r="S100" s="16">
        <f>[1]Items!S86</f>
        <v>0</v>
      </c>
      <c r="W100">
        <f>IF('Dota 2'!$C$6, (Items!C100+Items!E100)*Items!$X$2, (Items!C100+Items!D100)*Items!$X$2)</f>
        <v>0</v>
      </c>
      <c r="X100">
        <f t="shared" si="6"/>
        <v>0</v>
      </c>
      <c r="Y100">
        <f t="shared" si="7"/>
        <v>0</v>
      </c>
      <c r="Z100">
        <f t="shared" si="8"/>
        <v>15.898251192369628</v>
      </c>
      <c r="AA100">
        <f t="shared" si="9"/>
        <v>0</v>
      </c>
      <c r="AB100">
        <f>('Dota 2'!$H$10/$Z$4) * (1-($Y$9*($AA$2+J100))/($Y$7+$Y$9*ABS($AA$2+J100)) - $Z$4)</f>
        <v>0</v>
      </c>
      <c r="AC100">
        <f>IF('Dota 2'!$C$6, K100*M100*(1-$Z$3)*'Dota 2'!$H$8, K100*L100*(1-$Z$3)*'Dota 2'!$H$8)</f>
        <v>0</v>
      </c>
      <c r="AD100">
        <f>N100*O100*'Dota 2'!$H$10</f>
        <v>0</v>
      </c>
      <c r="AE100" s="2">
        <f t="shared" si="10"/>
        <v>15.898251192369628</v>
      </c>
      <c r="AF100" s="17">
        <f t="shared" si="11"/>
        <v>7.7552444840827449E-3</v>
      </c>
    </row>
    <row r="101" spans="1:32" x14ac:dyDescent="0.25">
      <c r="A101" s="6" t="str">
        <f>[1]Items!$A87</f>
        <v>Aghanim's Scepter</v>
      </c>
      <c r="B101" s="16" t="str">
        <f>[1]Items!B87</f>
        <v>4200</v>
      </c>
      <c r="C101" s="16" t="str">
        <f>[1]Items!C87</f>
        <v>0</v>
      </c>
      <c r="D101" s="16" t="str">
        <f>[1]Items!D87</f>
        <v>0</v>
      </c>
      <c r="E101" s="16" t="str">
        <f>[1]Items!E87</f>
        <v>0</v>
      </c>
      <c r="F101" s="16" t="str">
        <f>[1]Items!F87</f>
        <v>0</v>
      </c>
      <c r="G101" s="16" t="str">
        <f>[1]Items!G87</f>
        <v>10</v>
      </c>
      <c r="H101" s="16" t="str">
        <f>[1]Items!H87</f>
        <v>10</v>
      </c>
      <c r="I101" s="16" t="str">
        <f>[1]Items!I87</f>
        <v>10</v>
      </c>
      <c r="J101" s="16" t="str">
        <f>[1]Items!J87</f>
        <v>0</v>
      </c>
      <c r="K101" s="16" t="str">
        <f>[1]Items!K87</f>
        <v>0</v>
      </c>
      <c r="L101" s="16" t="str">
        <f>[1]Items!L87</f>
        <v>0</v>
      </c>
      <c r="M101" s="16" t="str">
        <f>[1]Items!M87</f>
        <v>0</v>
      </c>
      <c r="N101" s="16" t="str">
        <f>[1]Items!N87</f>
        <v>1</v>
      </c>
      <c r="O101" s="16" t="str">
        <f>[1]Items!O87</f>
        <v>0</v>
      </c>
      <c r="P101" s="16" t="str">
        <f>[1]Items!P87</f>
        <v>false</v>
      </c>
      <c r="Q101" s="16">
        <f>[1]Items!Q87</f>
        <v>0</v>
      </c>
      <c r="R101" s="16">
        <f>[1]Items!R87</f>
        <v>0</v>
      </c>
      <c r="S101" s="16">
        <f>[1]Items!S87</f>
        <v>0</v>
      </c>
      <c r="W101">
        <f>IF('Dota 2'!$C$6, (Items!C101+Items!E101)*Items!$X$2, (Items!C101+Items!D101)*Items!$X$2)</f>
        <v>0</v>
      </c>
      <c r="X101">
        <f t="shared" si="6"/>
        <v>0</v>
      </c>
      <c r="Y101">
        <f t="shared" si="7"/>
        <v>0</v>
      </c>
      <c r="Z101">
        <f t="shared" si="8"/>
        <v>15.898251192369628</v>
      </c>
      <c r="AA101">
        <f t="shared" si="9"/>
        <v>0</v>
      </c>
      <c r="AB101">
        <f>('Dota 2'!$H$10/$Z$4) * (1-($Y$9*($AA$2+J101))/($Y$7+$Y$9*ABS($AA$2+J101)) - $Z$4)</f>
        <v>0</v>
      </c>
      <c r="AC101">
        <f>IF('Dota 2'!$C$6, K101*M101*(1-$Z$3)*'Dota 2'!$H$8, K101*L101*(1-$Z$3)*'Dota 2'!$H$8)</f>
        <v>0</v>
      </c>
      <c r="AD101">
        <f>N101*O101*'Dota 2'!$H$10</f>
        <v>0</v>
      </c>
      <c r="AE101" s="2">
        <f t="shared" si="10"/>
        <v>15.898251192369628</v>
      </c>
      <c r="AF101" s="17">
        <f t="shared" si="11"/>
        <v>3.7852979029451496E-3</v>
      </c>
    </row>
    <row r="102" spans="1:32" x14ac:dyDescent="0.25">
      <c r="A102" s="6" t="str">
        <f>[1]Items!$A88</f>
        <v>Urn of Shadows</v>
      </c>
      <c r="B102" s="16" t="str">
        <f>[1]Items!B88</f>
        <v>880</v>
      </c>
      <c r="C102" s="16" t="str">
        <f>[1]Items!C88</f>
        <v>0</v>
      </c>
      <c r="D102" s="16" t="str">
        <f>[1]Items!D88</f>
        <v>0</v>
      </c>
      <c r="E102" s="16" t="str">
        <f>[1]Items!E88</f>
        <v>0</v>
      </c>
      <c r="F102" s="16" t="str">
        <f>[1]Items!F88</f>
        <v>0</v>
      </c>
      <c r="G102" s="16" t="str">
        <f>[1]Items!G88</f>
        <v>2</v>
      </c>
      <c r="H102" s="16" t="str">
        <f>[1]Items!H88</f>
        <v>2</v>
      </c>
      <c r="I102" s="16" t="str">
        <f>[1]Items!I88</f>
        <v>2</v>
      </c>
      <c r="J102" s="16" t="str">
        <f>[1]Items!J88</f>
        <v>0</v>
      </c>
      <c r="K102" s="16" t="str">
        <f>[1]Items!K88</f>
        <v>0</v>
      </c>
      <c r="L102" s="16" t="str">
        <f>[1]Items!L88</f>
        <v>0</v>
      </c>
      <c r="M102" s="16" t="str">
        <f>[1]Items!M88</f>
        <v>0</v>
      </c>
      <c r="N102" s="16" t="str">
        <f>[1]Items!N88</f>
        <v>1</v>
      </c>
      <c r="O102" s="16" t="str">
        <f>[1]Items!O88</f>
        <v>0</v>
      </c>
      <c r="P102" s="16" t="str">
        <f>[1]Items!P88</f>
        <v>false</v>
      </c>
      <c r="Q102" s="16">
        <f>[1]Items!Q88</f>
        <v>0</v>
      </c>
      <c r="R102" s="16">
        <f>[1]Items!R88</f>
        <v>0</v>
      </c>
      <c r="S102" s="16">
        <f>[1]Items!S88</f>
        <v>0</v>
      </c>
      <c r="W102">
        <f>IF('Dota 2'!$C$6, (Items!C102+Items!E102)*Items!$X$2, (Items!C102+Items!D102)*Items!$X$2)</f>
        <v>0</v>
      </c>
      <c r="X102">
        <f t="shared" si="6"/>
        <v>0</v>
      </c>
      <c r="Y102">
        <f t="shared" si="7"/>
        <v>0</v>
      </c>
      <c r="Z102">
        <f t="shared" si="8"/>
        <v>3.1796502384739256</v>
      </c>
      <c r="AA102">
        <f t="shared" si="9"/>
        <v>0</v>
      </c>
      <c r="AB102">
        <f>('Dota 2'!$H$10/$Z$4) * (1-($Y$9*($AA$2+J102))/($Y$7+$Y$9*ABS($AA$2+J102)) - $Z$4)</f>
        <v>0</v>
      </c>
      <c r="AC102">
        <f>IF('Dota 2'!$C$6, K102*M102*(1-$Z$3)*'Dota 2'!$H$8, K102*L102*(1-$Z$3)*'Dota 2'!$H$8)</f>
        <v>0</v>
      </c>
      <c r="AD102">
        <f>N102*O102*'Dota 2'!$H$10</f>
        <v>0</v>
      </c>
      <c r="AE102" s="2">
        <f t="shared" si="10"/>
        <v>3.1796502384739256</v>
      </c>
      <c r="AF102" s="17">
        <f t="shared" si="11"/>
        <v>3.6132389073567335E-3</v>
      </c>
    </row>
    <row r="103" spans="1:32" x14ac:dyDescent="0.25">
      <c r="A103" s="6" t="str">
        <f>[1]Items!$A89</f>
        <v>Vambrace</v>
      </c>
      <c r="B103" s="16" t="str">
        <f>[1]Items!B89</f>
        <v>0</v>
      </c>
      <c r="C103" s="16" t="str">
        <f>[1]Items!C89</f>
        <v>0</v>
      </c>
      <c r="D103" s="16" t="str">
        <f>[1]Items!D89</f>
        <v>0</v>
      </c>
      <c r="E103" s="16" t="str">
        <f>[1]Items!E89</f>
        <v>0</v>
      </c>
      <c r="F103" s="16" t="str">
        <f>[1]Items!F89</f>
        <v>10</v>
      </c>
      <c r="G103" s="16" t="str">
        <f>[1]Items!G89</f>
        <v>0</v>
      </c>
      <c r="H103" s="16" t="str">
        <f>[1]Items!H89</f>
        <v>0</v>
      </c>
      <c r="I103" s="16" t="str">
        <f>[1]Items!I89</f>
        <v>0</v>
      </c>
      <c r="J103" s="16" t="str">
        <f>[1]Items!J89</f>
        <v>0</v>
      </c>
      <c r="K103" s="16" t="str">
        <f>[1]Items!K89</f>
        <v>0</v>
      </c>
      <c r="L103" s="16" t="str">
        <f>[1]Items!L89</f>
        <v>0</v>
      </c>
      <c r="M103" s="16" t="str">
        <f>[1]Items!M89</f>
        <v>0</v>
      </c>
      <c r="N103" s="16" t="str">
        <f>[1]Items!N89</f>
        <v>1</v>
      </c>
      <c r="O103" s="16" t="str">
        <f>[1]Items!O89</f>
        <v>0</v>
      </c>
      <c r="P103" s="16" t="str">
        <f>[1]Items!P89</f>
        <v>true</v>
      </c>
      <c r="Q103" s="16">
        <f>[1]Items!Q89</f>
        <v>0</v>
      </c>
      <c r="R103" s="16">
        <f>[1]Items!R89</f>
        <v>0</v>
      </c>
      <c r="S103" s="16">
        <f>[1]Items!S89</f>
        <v>0</v>
      </c>
      <c r="W103">
        <f>IF('Dota 2'!$C$6, (Items!C103+Items!E103)*Items!$X$2, (Items!C103+Items!D103)*Items!$X$2)</f>
        <v>0</v>
      </c>
      <c r="X103">
        <f t="shared" si="6"/>
        <v>7.9491255961849561</v>
      </c>
      <c r="Y103">
        <f t="shared" si="7"/>
        <v>0</v>
      </c>
      <c r="Z103">
        <f t="shared" si="8"/>
        <v>0</v>
      </c>
      <c r="AA103">
        <f t="shared" si="9"/>
        <v>0</v>
      </c>
      <c r="AB103">
        <f>('Dota 2'!$H$10/$Z$4) * (1-($Y$9*($AA$2+J103))/($Y$7+$Y$9*ABS($AA$2+J103)) - $Z$4)</f>
        <v>0</v>
      </c>
      <c r="AC103">
        <f>IF('Dota 2'!$C$6, K103*M103*(1-$Z$3)*'Dota 2'!$H$8, K103*L103*(1-$Z$3)*'Dota 2'!$H$8)</f>
        <v>0</v>
      </c>
      <c r="AD103">
        <f>N103*O103*'Dota 2'!$H$10</f>
        <v>0</v>
      </c>
      <c r="AE103" s="2">
        <f t="shared" si="10"/>
        <v>7.9491255961849561</v>
      </c>
      <c r="AF103" s="17">
        <f t="shared" si="11"/>
        <v>0</v>
      </c>
    </row>
    <row r="104" spans="1:32" x14ac:dyDescent="0.25">
      <c r="A104" s="6" t="str">
        <f>[1]Items!$A90</f>
        <v>Veil of Discord</v>
      </c>
      <c r="B104" s="16" t="str">
        <f>[1]Items!B90</f>
        <v>1525</v>
      </c>
      <c r="C104" s="16" t="str">
        <f>[1]Items!C90</f>
        <v>0</v>
      </c>
      <c r="D104" s="16" t="str">
        <f>[1]Items!D90</f>
        <v>0</v>
      </c>
      <c r="E104" s="16" t="str">
        <f>[1]Items!E90</f>
        <v>0</v>
      </c>
      <c r="F104" s="16" t="str">
        <f>[1]Items!F90</f>
        <v>0</v>
      </c>
      <c r="G104" s="16" t="str">
        <f>[1]Items!G90</f>
        <v>4</v>
      </c>
      <c r="H104" s="16" t="str">
        <f>[1]Items!H90</f>
        <v>4</v>
      </c>
      <c r="I104" s="16" t="str">
        <f>[1]Items!I90</f>
        <v>4</v>
      </c>
      <c r="J104" s="16" t="str">
        <f>[1]Items!J90</f>
        <v>0</v>
      </c>
      <c r="K104" s="16" t="str">
        <f>[1]Items!K90</f>
        <v>0</v>
      </c>
      <c r="L104" s="16" t="str">
        <f>[1]Items!L90</f>
        <v>0</v>
      </c>
      <c r="M104" s="16" t="str">
        <f>[1]Items!M90</f>
        <v>0</v>
      </c>
      <c r="N104" s="16" t="str">
        <f>[1]Items!N90</f>
        <v>1</v>
      </c>
      <c r="O104" s="16" t="str">
        <f>[1]Items!O90</f>
        <v>0</v>
      </c>
      <c r="P104" s="16" t="str">
        <f>[1]Items!P90</f>
        <v>false</v>
      </c>
      <c r="Q104" s="16">
        <f>[1]Items!Q90</f>
        <v>0</v>
      </c>
      <c r="R104" s="16">
        <f>[1]Items!R90</f>
        <v>0</v>
      </c>
      <c r="S104" s="16">
        <f>[1]Items!S90</f>
        <v>0</v>
      </c>
      <c r="W104">
        <f>IF('Dota 2'!$C$6, (Items!C104+Items!E104)*Items!$X$2, (Items!C104+Items!D104)*Items!$X$2)</f>
        <v>0</v>
      </c>
      <c r="X104">
        <f t="shared" si="6"/>
        <v>0</v>
      </c>
      <c r="Y104">
        <f t="shared" si="7"/>
        <v>0</v>
      </c>
      <c r="Z104">
        <f t="shared" si="8"/>
        <v>6.3593004769478512</v>
      </c>
      <c r="AA104">
        <f t="shared" si="9"/>
        <v>0</v>
      </c>
      <c r="AB104">
        <f>('Dota 2'!$H$10/$Z$4) * (1-($Y$9*($AA$2+J104))/($Y$7+$Y$9*ABS($AA$2+J104)) - $Z$4)</f>
        <v>0</v>
      </c>
      <c r="AC104">
        <f>IF('Dota 2'!$C$6, K104*M104*(1-$Z$3)*'Dota 2'!$H$8, K104*L104*(1-$Z$3)*'Dota 2'!$H$8)</f>
        <v>0</v>
      </c>
      <c r="AD104">
        <f>N104*O104*'Dota 2'!$H$10</f>
        <v>0</v>
      </c>
      <c r="AE104" s="2">
        <f t="shared" si="10"/>
        <v>6.3593004769478512</v>
      </c>
      <c r="AF104" s="17">
        <f t="shared" si="11"/>
        <v>4.1700330996379351E-3</v>
      </c>
    </row>
    <row r="105" spans="1:32" x14ac:dyDescent="0.25">
      <c r="A105" s="6" t="str">
        <f>[1]Items!$A91</f>
        <v>Warhammer</v>
      </c>
      <c r="B105" s="16" t="str">
        <f>[1]Items!B91</f>
        <v>0</v>
      </c>
      <c r="C105" s="16" t="str">
        <f>[1]Items!C91</f>
        <v>0</v>
      </c>
      <c r="D105" s="16" t="str">
        <f>[1]Items!D91</f>
        <v>0</v>
      </c>
      <c r="E105" s="16" t="str">
        <f>[1]Items!E91</f>
        <v>0</v>
      </c>
      <c r="F105" s="16" t="str">
        <f>[1]Items!F91</f>
        <v>0</v>
      </c>
      <c r="G105" s="16" t="str">
        <f>[1]Items!G91</f>
        <v>10</v>
      </c>
      <c r="H105" s="16" t="str">
        <f>[1]Items!H91</f>
        <v>0</v>
      </c>
      <c r="I105" s="16" t="str">
        <f>[1]Items!I91</f>
        <v>0</v>
      </c>
      <c r="J105" s="16" t="str">
        <f>[1]Items!J91</f>
        <v>0</v>
      </c>
      <c r="K105" s="16" t="str">
        <f>[1]Items!K91</f>
        <v>0</v>
      </c>
      <c r="L105" s="16" t="str">
        <f>[1]Items!L91</f>
        <v>0</v>
      </c>
      <c r="M105" s="16" t="str">
        <f>[1]Items!M91</f>
        <v>0</v>
      </c>
      <c r="N105" s="16" t="str">
        <f>[1]Items!N91</f>
        <v>1</v>
      </c>
      <c r="O105" s="16" t="str">
        <f>[1]Items!O91</f>
        <v>0</v>
      </c>
      <c r="P105" s="16" t="str">
        <f>[1]Items!P91</f>
        <v>true</v>
      </c>
      <c r="Q105" s="16">
        <f>[1]Items!Q91</f>
        <v>0</v>
      </c>
      <c r="R105" s="16">
        <f>[1]Items!R91</f>
        <v>0</v>
      </c>
      <c r="S105" s="16">
        <f>[1]Items!S91</f>
        <v>0</v>
      </c>
      <c r="W105">
        <f>IF('Dota 2'!$C$6, (Items!C105+Items!E105)*Items!$X$2, (Items!C105+Items!D105)*Items!$X$2)</f>
        <v>0</v>
      </c>
      <c r="X105">
        <f t="shared" si="6"/>
        <v>0</v>
      </c>
      <c r="Y105">
        <f t="shared" si="7"/>
        <v>0</v>
      </c>
      <c r="Z105">
        <f t="shared" si="8"/>
        <v>0</v>
      </c>
      <c r="AA105">
        <f t="shared" si="9"/>
        <v>0</v>
      </c>
      <c r="AB105">
        <f>('Dota 2'!$H$10/$Z$4) * (1-($Y$9*($AA$2+J105))/($Y$7+$Y$9*ABS($AA$2+J105)) - $Z$4)</f>
        <v>0</v>
      </c>
      <c r="AC105">
        <f>IF('Dota 2'!$C$6, K105*M105*(1-$Z$3)*'Dota 2'!$H$8, K105*L105*(1-$Z$3)*'Dota 2'!$H$8)</f>
        <v>0</v>
      </c>
      <c r="AD105">
        <f>N105*O105*'Dota 2'!$H$10</f>
        <v>0</v>
      </c>
      <c r="AE105" s="2">
        <f t="shared" si="10"/>
        <v>0</v>
      </c>
      <c r="AF105" s="17">
        <f t="shared" si="11"/>
        <v>0</v>
      </c>
    </row>
    <row r="106" spans="1:32" x14ac:dyDescent="0.25">
      <c r="A106" s="6" t="str">
        <f>[1]Items!$A92</f>
        <v>Wind Waker</v>
      </c>
      <c r="B106" s="16" t="str">
        <f>[1]Items!B92</f>
        <v>6825</v>
      </c>
      <c r="C106" s="16" t="str">
        <f>[1]Items!C92</f>
        <v>0</v>
      </c>
      <c r="D106" s="16" t="str">
        <f>[1]Items!D92</f>
        <v>0</v>
      </c>
      <c r="E106" s="16" t="str">
        <f>[1]Items!E92</f>
        <v>0</v>
      </c>
      <c r="F106" s="16" t="str">
        <f>[1]Items!F92</f>
        <v>0</v>
      </c>
      <c r="G106" s="16" t="str">
        <f>[1]Items!G92</f>
        <v>0</v>
      </c>
      <c r="H106" s="16" t="str">
        <f>[1]Items!H92</f>
        <v>0</v>
      </c>
      <c r="I106" s="16" t="str">
        <f>[1]Items!I92</f>
        <v>35</v>
      </c>
      <c r="J106" s="16" t="str">
        <f>[1]Items!J92</f>
        <v>0</v>
      </c>
      <c r="K106" s="16" t="str">
        <f>[1]Items!K92</f>
        <v>0</v>
      </c>
      <c r="L106" s="16" t="str">
        <f>[1]Items!L92</f>
        <v>0</v>
      </c>
      <c r="M106" s="16" t="str">
        <f>[1]Items!M92</f>
        <v>0</v>
      </c>
      <c r="N106" s="16" t="str">
        <f>[1]Items!N92</f>
        <v>1</v>
      </c>
      <c r="O106" s="16" t="str">
        <f>[1]Items!O92</f>
        <v>0</v>
      </c>
      <c r="P106" s="16" t="str">
        <f>[1]Items!P92</f>
        <v>false</v>
      </c>
      <c r="Q106" s="16">
        <f>[1]Items!Q92</f>
        <v>0</v>
      </c>
      <c r="R106" s="16">
        <f>[1]Items!R92</f>
        <v>0</v>
      </c>
      <c r="S106" s="16">
        <f>[1]Items!S92</f>
        <v>0</v>
      </c>
      <c r="W106">
        <f>IF('Dota 2'!$C$6, (Items!C106+Items!E106)*Items!$X$2, (Items!C106+Items!D106)*Items!$X$2)</f>
        <v>0</v>
      </c>
      <c r="X106">
        <f t="shared" si="6"/>
        <v>0</v>
      </c>
      <c r="Y106">
        <f t="shared" si="7"/>
        <v>0</v>
      </c>
      <c r="Z106">
        <f t="shared" si="8"/>
        <v>0</v>
      </c>
      <c r="AA106">
        <f t="shared" si="9"/>
        <v>0</v>
      </c>
      <c r="AB106">
        <f>('Dota 2'!$H$10/$Z$4) * (1-($Y$9*($AA$2+J106))/($Y$7+$Y$9*ABS($AA$2+J106)) - $Z$4)</f>
        <v>0</v>
      </c>
      <c r="AC106">
        <f>IF('Dota 2'!$C$6, K106*M106*(1-$Z$3)*'Dota 2'!$H$8, K106*L106*(1-$Z$3)*'Dota 2'!$H$8)</f>
        <v>0</v>
      </c>
      <c r="AD106">
        <f>N106*O106*'Dota 2'!$H$10</f>
        <v>0</v>
      </c>
      <c r="AE106" s="2">
        <f t="shared" si="10"/>
        <v>0</v>
      </c>
      <c r="AF106" s="17">
        <f t="shared" si="11"/>
        <v>0</v>
      </c>
    </row>
    <row r="107" spans="1:32" x14ac:dyDescent="0.25">
      <c r="A107" s="6" t="str">
        <f>[1]Items!$A93</f>
        <v>Witch Blade</v>
      </c>
      <c r="B107" s="16" t="str">
        <f>[1]Items!B93</f>
        <v>2600</v>
      </c>
      <c r="C107" s="16" t="str">
        <f>[1]Items!C93</f>
        <v>0</v>
      </c>
      <c r="D107" s="16" t="str">
        <f>[1]Items!D93</f>
        <v>0</v>
      </c>
      <c r="E107" s="16" t="str">
        <f>[1]Items!E93</f>
        <v>0</v>
      </c>
      <c r="F107" s="16" t="str">
        <f>[1]Items!F93</f>
        <v>35</v>
      </c>
      <c r="G107" s="16" t="str">
        <f>[1]Items!G93</f>
        <v>0</v>
      </c>
      <c r="H107" s="16" t="str">
        <f>[1]Items!H93</f>
        <v>0</v>
      </c>
      <c r="I107" s="16" t="str">
        <f>[1]Items!I93</f>
        <v>14</v>
      </c>
      <c r="J107" s="16" t="str">
        <f>[1]Items!J93</f>
        <v>0</v>
      </c>
      <c r="K107" s="16" t="str">
        <f>[1]Items!K93</f>
        <v>0</v>
      </c>
      <c r="L107" s="16" t="str">
        <f>[1]Items!L93</f>
        <v>0</v>
      </c>
      <c r="M107" s="16" t="str">
        <f>[1]Items!M93</f>
        <v>0</v>
      </c>
      <c r="N107" s="16" t="str">
        <f>[1]Items!N93</f>
        <v>1</v>
      </c>
      <c r="O107" s="16" t="str">
        <f>[1]Items!O93</f>
        <v>0</v>
      </c>
      <c r="P107" s="16" t="str">
        <f>[1]Items!P93</f>
        <v>false</v>
      </c>
      <c r="Q107" s="16">
        <f>[1]Items!Q93</f>
        <v>0</v>
      </c>
      <c r="R107" s="16">
        <f>[1]Items!R93</f>
        <v>0</v>
      </c>
      <c r="S107" s="16">
        <f>[1]Items!S93</f>
        <v>0</v>
      </c>
      <c r="W107">
        <f>IF('Dota 2'!$C$6, (Items!C107+Items!E107)*Items!$X$2, (Items!C107+Items!D107)*Items!$X$2)</f>
        <v>0</v>
      </c>
      <c r="X107">
        <f t="shared" si="6"/>
        <v>27.821939586647346</v>
      </c>
      <c r="Y107">
        <f t="shared" si="7"/>
        <v>0</v>
      </c>
      <c r="Z107">
        <f t="shared" si="8"/>
        <v>0</v>
      </c>
      <c r="AA107">
        <f t="shared" si="9"/>
        <v>0</v>
      </c>
      <c r="AB107">
        <f>('Dota 2'!$H$10/$Z$4) * (1-($Y$9*($AA$2+J107))/($Y$7+$Y$9*ABS($AA$2+J107)) - $Z$4)</f>
        <v>0</v>
      </c>
      <c r="AC107">
        <f>IF('Dota 2'!$C$6, K107*M107*(1-$Z$3)*'Dota 2'!$H$8, K107*L107*(1-$Z$3)*'Dota 2'!$H$8)</f>
        <v>0</v>
      </c>
      <c r="AD107">
        <f>N107*O107*'Dota 2'!$H$10</f>
        <v>0</v>
      </c>
      <c r="AE107" s="2">
        <f t="shared" si="10"/>
        <v>27.821939586647346</v>
      </c>
      <c r="AF107" s="17">
        <f t="shared" si="11"/>
        <v>1.0700745994864364E-2</v>
      </c>
    </row>
    <row r="108" spans="1:32" x14ac:dyDescent="0.25">
      <c r="A108" s="6" t="str">
        <f>[1]Items!$A94</f>
        <v>Yasha</v>
      </c>
      <c r="B108" s="16" t="str">
        <f>[1]Items!B94</f>
        <v>2050</v>
      </c>
      <c r="C108" s="16" t="str">
        <f>[1]Items!C94</f>
        <v>0</v>
      </c>
      <c r="D108" s="16" t="str">
        <f>[1]Items!D94</f>
        <v>0</v>
      </c>
      <c r="E108" s="16" t="str">
        <f>[1]Items!E94</f>
        <v>0</v>
      </c>
      <c r="F108" s="16" t="str">
        <f>[1]Items!F94</f>
        <v>12</v>
      </c>
      <c r="G108" s="16" t="str">
        <f>[1]Items!G94</f>
        <v>0</v>
      </c>
      <c r="H108" s="16" t="str">
        <f>[1]Items!H94</f>
        <v>16</v>
      </c>
      <c r="I108" s="16" t="str">
        <f>[1]Items!I94</f>
        <v>0</v>
      </c>
      <c r="J108" s="16" t="str">
        <f>[1]Items!J94</f>
        <v>0</v>
      </c>
      <c r="K108" s="16" t="str">
        <f>[1]Items!K94</f>
        <v>0</v>
      </c>
      <c r="L108" s="16" t="str">
        <f>[1]Items!L94</f>
        <v>0</v>
      </c>
      <c r="M108" s="16" t="str">
        <f>[1]Items!M94</f>
        <v>0</v>
      </c>
      <c r="N108" s="16" t="str">
        <f>[1]Items!N94</f>
        <v>1</v>
      </c>
      <c r="O108" s="16" t="str">
        <f>[1]Items!O94</f>
        <v>0</v>
      </c>
      <c r="P108" s="16" t="str">
        <f>[1]Items!P94</f>
        <v>false</v>
      </c>
      <c r="Q108" s="16">
        <f>[1]Items!Q94</f>
        <v>0</v>
      </c>
      <c r="R108" s="16">
        <f>[1]Items!R94</f>
        <v>0</v>
      </c>
      <c r="S108" s="16">
        <f>[1]Items!S94</f>
        <v>0</v>
      </c>
      <c r="W108">
        <f>IF('Dota 2'!$C$6, (Items!C108+Items!E108)*Items!$X$2, (Items!C108+Items!D108)*Items!$X$2)</f>
        <v>0</v>
      </c>
      <c r="X108">
        <f t="shared" si="6"/>
        <v>9.5389507154219473</v>
      </c>
      <c r="Y108">
        <f t="shared" si="7"/>
        <v>0</v>
      </c>
      <c r="Z108">
        <f t="shared" si="8"/>
        <v>25.437201907791405</v>
      </c>
      <c r="AA108">
        <f t="shared" si="9"/>
        <v>0</v>
      </c>
      <c r="AB108">
        <f>('Dota 2'!$H$10/$Z$4) * (1-($Y$9*($AA$2+J108))/($Y$7+$Y$9*ABS($AA$2+J108)) - $Z$4)</f>
        <v>0</v>
      </c>
      <c r="AC108">
        <f>IF('Dota 2'!$C$6, K108*M108*(1-$Z$3)*'Dota 2'!$H$8, K108*L108*(1-$Z$3)*'Dota 2'!$H$8)</f>
        <v>0</v>
      </c>
      <c r="AD108">
        <f>N108*O108*'Dota 2'!$H$10</f>
        <v>0</v>
      </c>
      <c r="AE108" s="2">
        <f t="shared" si="10"/>
        <v>34.976152623213352</v>
      </c>
      <c r="AF108" s="17">
        <f t="shared" si="11"/>
        <v>1.7061537864982122E-2</v>
      </c>
    </row>
    <row r="109" spans="1:32" x14ac:dyDescent="0.25">
      <c r="A109" s="6">
        <f>[1]Items!$A95</f>
        <v>0</v>
      </c>
      <c r="B109" s="16">
        <f>[1]Items!B95</f>
        <v>0</v>
      </c>
      <c r="C109" s="16">
        <f>[1]Items!C95</f>
        <v>0</v>
      </c>
      <c r="D109" s="16">
        <f>[1]Items!D95</f>
        <v>0</v>
      </c>
      <c r="E109" s="16">
        <f>[1]Items!E95</f>
        <v>0</v>
      </c>
      <c r="F109" s="16">
        <f>[1]Items!F95</f>
        <v>0</v>
      </c>
      <c r="G109" s="16">
        <f>[1]Items!G95</f>
        <v>0</v>
      </c>
      <c r="H109" s="16">
        <f>[1]Items!H95</f>
        <v>0</v>
      </c>
      <c r="I109" s="16">
        <f>[1]Items!I95</f>
        <v>0</v>
      </c>
      <c r="J109" s="16">
        <f>[1]Items!J95</f>
        <v>0</v>
      </c>
      <c r="K109" s="16">
        <f>[1]Items!K95</f>
        <v>0</v>
      </c>
      <c r="L109" s="16">
        <f>[1]Items!L95</f>
        <v>0</v>
      </c>
      <c r="M109" s="16">
        <f>[1]Items!M95</f>
        <v>0</v>
      </c>
      <c r="N109" s="16">
        <f>[1]Items!N95</f>
        <v>0</v>
      </c>
      <c r="O109" s="16">
        <f>[1]Items!O95</f>
        <v>0</v>
      </c>
      <c r="P109" s="16">
        <f>[1]Items!P95</f>
        <v>0</v>
      </c>
      <c r="Q109" s="16">
        <f>[1]Items!Q95</f>
        <v>0</v>
      </c>
      <c r="R109" s="16">
        <f>[1]Items!R95</f>
        <v>0</v>
      </c>
      <c r="S109" s="16">
        <f>[1]Items!S95</f>
        <v>0</v>
      </c>
      <c r="W109">
        <f>IF('Dota 2'!$C$6, (Items!C109+Items!E109)*Items!$X$2, (Items!C109+Items!D109)*Items!$X$2)</f>
        <v>0</v>
      </c>
      <c r="X109">
        <f t="shared" si="6"/>
        <v>0</v>
      </c>
      <c r="Y109">
        <f t="shared" si="7"/>
        <v>0</v>
      </c>
      <c r="Z109">
        <f t="shared" si="8"/>
        <v>0</v>
      </c>
      <c r="AA109">
        <f t="shared" si="9"/>
        <v>0</v>
      </c>
      <c r="AB109">
        <f>('Dota 2'!$H$10/$Z$4) * (1-($Y$9*($AA$2+J109))/($Y$7+$Y$9*ABS($AA$2+J109)) - $Z$4)</f>
        <v>0</v>
      </c>
      <c r="AC109">
        <f>IF('Dota 2'!$C$6, K109*M109*(1-$Z$3)*'Dota 2'!$H$8, K109*L109*(1-$Z$3)*'Dota 2'!$H$8)</f>
        <v>0</v>
      </c>
      <c r="AD109">
        <f>N109*O109*'Dota 2'!$H$10</f>
        <v>0</v>
      </c>
      <c r="AE109" s="2">
        <f t="shared" si="10"/>
        <v>0</v>
      </c>
      <c r="AF109" s="17">
        <f t="shared" si="11"/>
        <v>0</v>
      </c>
    </row>
    <row r="110" spans="1:32" x14ac:dyDescent="0.25">
      <c r="A110" s="6">
        <f>[1]Items!$A96</f>
        <v>0</v>
      </c>
      <c r="B110" s="16">
        <f>[1]Items!B96</f>
        <v>0</v>
      </c>
      <c r="C110" s="16">
        <f>[1]Items!C96</f>
        <v>0</v>
      </c>
      <c r="D110" s="16">
        <f>[1]Items!D96</f>
        <v>0</v>
      </c>
      <c r="E110" s="16">
        <f>[1]Items!E96</f>
        <v>0</v>
      </c>
      <c r="F110" s="16">
        <f>[1]Items!F96</f>
        <v>0</v>
      </c>
      <c r="G110" s="16">
        <f>[1]Items!G96</f>
        <v>0</v>
      </c>
      <c r="H110" s="16">
        <f>[1]Items!H96</f>
        <v>0</v>
      </c>
      <c r="I110" s="16">
        <f>[1]Items!I96</f>
        <v>0</v>
      </c>
      <c r="J110" s="16">
        <f>[1]Items!J96</f>
        <v>0</v>
      </c>
      <c r="K110" s="16">
        <f>[1]Items!K96</f>
        <v>0</v>
      </c>
      <c r="L110" s="16">
        <f>[1]Items!L96</f>
        <v>0</v>
      </c>
      <c r="M110" s="16">
        <f>[1]Items!M96</f>
        <v>0</v>
      </c>
      <c r="N110" s="16">
        <f>[1]Items!N96</f>
        <v>0</v>
      </c>
      <c r="O110" s="16">
        <f>[1]Items!O96</f>
        <v>0</v>
      </c>
      <c r="P110" s="16">
        <f>[1]Items!P96</f>
        <v>0</v>
      </c>
      <c r="Q110" s="16">
        <f>[1]Items!Q96</f>
        <v>0</v>
      </c>
      <c r="R110" s="16">
        <f>[1]Items!R96</f>
        <v>0</v>
      </c>
      <c r="S110" s="16">
        <f>[1]Items!S96</f>
        <v>0</v>
      </c>
      <c r="W110">
        <f>IF('Dota 2'!$C$6, (Items!C110+Items!E110)*Items!$X$2, (Items!C110+Items!D110)*Items!$X$2)</f>
        <v>0</v>
      </c>
      <c r="X110">
        <f t="shared" si="6"/>
        <v>0</v>
      </c>
      <c r="Y110">
        <f t="shared" si="7"/>
        <v>0</v>
      </c>
      <c r="Z110">
        <f t="shared" si="8"/>
        <v>0</v>
      </c>
      <c r="AA110">
        <f t="shared" si="9"/>
        <v>0</v>
      </c>
      <c r="AB110">
        <f>('Dota 2'!$H$10/$Z$4) * (1-($Y$9*($AA$2+J110))/($Y$7+$Y$9*ABS($AA$2+J110)) - $Z$4)</f>
        <v>0</v>
      </c>
      <c r="AC110">
        <f>IF('Dota 2'!$C$6, K110*M110*(1-$Z$3)*'Dota 2'!$H$8, K110*L110*(1-$Z$3)*'Dota 2'!$H$8)</f>
        <v>0</v>
      </c>
      <c r="AD110">
        <f>N110*O110*'Dota 2'!$H$10</f>
        <v>0</v>
      </c>
      <c r="AE110" s="2">
        <f t="shared" si="10"/>
        <v>0</v>
      </c>
      <c r="AF110" s="17">
        <f t="shared" si="11"/>
        <v>0</v>
      </c>
    </row>
    <row r="111" spans="1:32" x14ac:dyDescent="0.25">
      <c r="A111" s="6">
        <f>[1]Items!$A97</f>
        <v>0</v>
      </c>
      <c r="B111" s="16">
        <f>[1]Items!B97</f>
        <v>0</v>
      </c>
      <c r="C111" s="16">
        <f>[1]Items!C97</f>
        <v>0</v>
      </c>
      <c r="D111" s="16">
        <f>[1]Items!D97</f>
        <v>0</v>
      </c>
      <c r="E111" s="16">
        <f>[1]Items!E97</f>
        <v>0</v>
      </c>
      <c r="F111" s="16">
        <f>[1]Items!F97</f>
        <v>0</v>
      </c>
      <c r="G111" s="16">
        <f>[1]Items!G97</f>
        <v>0</v>
      </c>
      <c r="H111" s="16">
        <f>[1]Items!H97</f>
        <v>0</v>
      </c>
      <c r="I111" s="16">
        <f>[1]Items!I97</f>
        <v>0</v>
      </c>
      <c r="J111" s="16">
        <f>[1]Items!J97</f>
        <v>0</v>
      </c>
      <c r="K111" s="16">
        <f>[1]Items!K97</f>
        <v>0</v>
      </c>
      <c r="L111" s="16">
        <f>[1]Items!L97</f>
        <v>0</v>
      </c>
      <c r="M111" s="16">
        <f>[1]Items!M97</f>
        <v>0</v>
      </c>
      <c r="N111" s="16">
        <f>[1]Items!N97</f>
        <v>0</v>
      </c>
      <c r="O111" s="16">
        <f>[1]Items!O97</f>
        <v>0</v>
      </c>
      <c r="P111" s="16">
        <f>[1]Items!P97</f>
        <v>0</v>
      </c>
      <c r="Q111" s="16">
        <f>[1]Items!Q97</f>
        <v>0</v>
      </c>
      <c r="R111" s="16">
        <f>[1]Items!R97</f>
        <v>0</v>
      </c>
      <c r="S111" s="16">
        <f>[1]Items!S97</f>
        <v>0</v>
      </c>
      <c r="W111">
        <f>IF('Dota 2'!$C$6, (Items!C111+Items!E111)*Items!$X$2, (Items!C111+Items!D111)*Items!$X$2)</f>
        <v>0</v>
      </c>
      <c r="X111">
        <f t="shared" si="6"/>
        <v>0</v>
      </c>
      <c r="Y111">
        <f t="shared" si="7"/>
        <v>0</v>
      </c>
      <c r="Z111">
        <f t="shared" si="8"/>
        <v>0</v>
      </c>
      <c r="AA111">
        <f t="shared" si="9"/>
        <v>0</v>
      </c>
      <c r="AB111">
        <f>('Dota 2'!$H$10/$Z$4) * (1-($Y$9*($AA$2+J111))/($Y$7+$Y$9*ABS($AA$2+J111)) - $Z$4)</f>
        <v>0</v>
      </c>
      <c r="AC111">
        <f>IF('Dota 2'!$C$6, K111*M111*(1-$Z$3)*'Dota 2'!$H$8, K111*L111*(1-$Z$3)*'Dota 2'!$H$8)</f>
        <v>0</v>
      </c>
      <c r="AD111">
        <f>N111*O111*'Dota 2'!$H$10</f>
        <v>0</v>
      </c>
      <c r="AE111" s="2">
        <f t="shared" si="10"/>
        <v>0</v>
      </c>
      <c r="AF111" s="17">
        <f t="shared" si="11"/>
        <v>0</v>
      </c>
    </row>
    <row r="112" spans="1:32" x14ac:dyDescent="0.25">
      <c r="A112" s="6">
        <f>[1]Items!$A98</f>
        <v>0</v>
      </c>
      <c r="B112" s="16">
        <f>[1]Items!B98</f>
        <v>0</v>
      </c>
      <c r="C112" s="16">
        <f>[1]Items!C98</f>
        <v>0</v>
      </c>
      <c r="D112" s="16">
        <f>[1]Items!D98</f>
        <v>0</v>
      </c>
      <c r="E112" s="16">
        <f>[1]Items!E98</f>
        <v>0</v>
      </c>
      <c r="F112" s="16">
        <f>[1]Items!F98</f>
        <v>0</v>
      </c>
      <c r="G112" s="16">
        <f>[1]Items!G98</f>
        <v>0</v>
      </c>
      <c r="H112" s="16">
        <f>[1]Items!H98</f>
        <v>0</v>
      </c>
      <c r="I112" s="16">
        <f>[1]Items!I98</f>
        <v>0</v>
      </c>
      <c r="J112" s="16">
        <f>[1]Items!J98</f>
        <v>0</v>
      </c>
      <c r="K112" s="16">
        <f>[1]Items!K98</f>
        <v>0</v>
      </c>
      <c r="L112" s="16">
        <f>[1]Items!L98</f>
        <v>0</v>
      </c>
      <c r="M112" s="16">
        <f>[1]Items!M98</f>
        <v>0</v>
      </c>
      <c r="N112" s="16">
        <f>[1]Items!N98</f>
        <v>0</v>
      </c>
      <c r="O112" s="16">
        <f>[1]Items!O98</f>
        <v>0</v>
      </c>
      <c r="P112" s="16">
        <f>[1]Items!P98</f>
        <v>0</v>
      </c>
      <c r="Q112" s="16">
        <f>[1]Items!Q98</f>
        <v>0</v>
      </c>
      <c r="R112" s="16">
        <f>[1]Items!R98</f>
        <v>0</v>
      </c>
      <c r="S112" s="16">
        <f>[1]Items!S98</f>
        <v>0</v>
      </c>
      <c r="W112">
        <f>IF('Dota 2'!$C$6, (Items!C112+Items!E112)*Items!$X$2, (Items!C112+Items!D112)*Items!$X$2)</f>
        <v>0</v>
      </c>
      <c r="X112">
        <f t="shared" si="6"/>
        <v>0</v>
      </c>
      <c r="Y112">
        <f t="shared" si="7"/>
        <v>0</v>
      </c>
      <c r="Z112">
        <f t="shared" si="8"/>
        <v>0</v>
      </c>
      <c r="AA112">
        <f t="shared" si="9"/>
        <v>0</v>
      </c>
      <c r="AB112">
        <f>('Dota 2'!$H$10/$Z$4) * (1-($Y$9*($AA$2+J112))/($Y$7+$Y$9*ABS($AA$2+J112)) - $Z$4)</f>
        <v>0</v>
      </c>
      <c r="AC112">
        <f>IF('Dota 2'!$C$6, K112*M112*(1-$Z$3)*'Dota 2'!$H$8, K112*L112*(1-$Z$3)*'Dota 2'!$H$8)</f>
        <v>0</v>
      </c>
      <c r="AD112">
        <f>N112*O112*'Dota 2'!$H$10</f>
        <v>0</v>
      </c>
      <c r="AE112" s="2">
        <f t="shared" si="10"/>
        <v>0</v>
      </c>
      <c r="AF112" s="17">
        <f t="shared" si="11"/>
        <v>0</v>
      </c>
    </row>
    <row r="113" spans="1:32" x14ac:dyDescent="0.25">
      <c r="A113" s="6">
        <f>[1]Items!$A99</f>
        <v>0</v>
      </c>
      <c r="B113" s="16">
        <f>[1]Items!B99</f>
        <v>0</v>
      </c>
      <c r="C113" s="16">
        <f>[1]Items!C99</f>
        <v>0</v>
      </c>
      <c r="D113" s="16">
        <f>[1]Items!D99</f>
        <v>0</v>
      </c>
      <c r="E113" s="16">
        <f>[1]Items!E99</f>
        <v>0</v>
      </c>
      <c r="F113" s="16">
        <f>[1]Items!F99</f>
        <v>0</v>
      </c>
      <c r="G113" s="16">
        <f>[1]Items!G99</f>
        <v>0</v>
      </c>
      <c r="H113" s="16">
        <f>[1]Items!H99</f>
        <v>0</v>
      </c>
      <c r="I113" s="16">
        <f>[1]Items!I99</f>
        <v>0</v>
      </c>
      <c r="J113" s="16">
        <f>[1]Items!J99</f>
        <v>0</v>
      </c>
      <c r="K113" s="16">
        <f>[1]Items!K99</f>
        <v>0</v>
      </c>
      <c r="L113" s="16">
        <f>[1]Items!L99</f>
        <v>0</v>
      </c>
      <c r="M113" s="16">
        <f>[1]Items!M99</f>
        <v>0</v>
      </c>
      <c r="N113" s="16">
        <f>[1]Items!N99</f>
        <v>0</v>
      </c>
      <c r="O113" s="16">
        <f>[1]Items!O99</f>
        <v>0</v>
      </c>
      <c r="P113" s="16">
        <f>[1]Items!P99</f>
        <v>0</v>
      </c>
      <c r="Q113" s="16">
        <f>[1]Items!Q99</f>
        <v>0</v>
      </c>
      <c r="R113" s="16">
        <f>[1]Items!R99</f>
        <v>0</v>
      </c>
      <c r="S113" s="16">
        <f>[1]Items!S99</f>
        <v>0</v>
      </c>
      <c r="W113">
        <f>IF('Dota 2'!$C$6, (Items!C113+Items!E113)*Items!$X$2, (Items!C113+Items!D113)*Items!$X$2)</f>
        <v>0</v>
      </c>
      <c r="X113">
        <f t="shared" si="6"/>
        <v>0</v>
      </c>
      <c r="Y113">
        <f t="shared" si="7"/>
        <v>0</v>
      </c>
      <c r="Z113">
        <f t="shared" si="8"/>
        <v>0</v>
      </c>
      <c r="AA113">
        <f t="shared" si="9"/>
        <v>0</v>
      </c>
      <c r="AB113">
        <f>('Dota 2'!$H$10/$Z$4) * (1-($Y$9*($AA$2+J113))/($Y$7+$Y$9*ABS($AA$2+J113)) - $Z$4)</f>
        <v>0</v>
      </c>
      <c r="AC113">
        <f>IF('Dota 2'!$C$6, K113*M113*(1-$Z$3)*'Dota 2'!$H$8, K113*L113*(1-$Z$3)*'Dota 2'!$H$8)</f>
        <v>0</v>
      </c>
      <c r="AD113">
        <f>N113*O113*'Dota 2'!$H$10</f>
        <v>0</v>
      </c>
      <c r="AE113" s="2">
        <f t="shared" si="10"/>
        <v>0</v>
      </c>
      <c r="AF113" s="17">
        <f t="shared" si="11"/>
        <v>0</v>
      </c>
    </row>
    <row r="114" spans="1:32" x14ac:dyDescent="0.25">
      <c r="A114" s="6">
        <f>[1]Items!$A100</f>
        <v>0</v>
      </c>
      <c r="B114" s="16">
        <f>[1]Items!B100</f>
        <v>0</v>
      </c>
      <c r="C114" s="16">
        <f>[1]Items!C100</f>
        <v>0</v>
      </c>
      <c r="D114" s="16">
        <f>[1]Items!D100</f>
        <v>0</v>
      </c>
      <c r="E114" s="16">
        <f>[1]Items!E100</f>
        <v>0</v>
      </c>
      <c r="F114" s="16">
        <f>[1]Items!F100</f>
        <v>0</v>
      </c>
      <c r="G114" s="16">
        <f>[1]Items!G100</f>
        <v>0</v>
      </c>
      <c r="H114" s="16">
        <f>[1]Items!H100</f>
        <v>0</v>
      </c>
      <c r="I114" s="16">
        <f>[1]Items!I100</f>
        <v>0</v>
      </c>
      <c r="J114" s="16">
        <f>[1]Items!J100</f>
        <v>0</v>
      </c>
      <c r="K114" s="16">
        <f>[1]Items!K100</f>
        <v>0</v>
      </c>
      <c r="L114" s="16">
        <f>[1]Items!L100</f>
        <v>0</v>
      </c>
      <c r="M114" s="16">
        <f>[1]Items!M100</f>
        <v>0</v>
      </c>
      <c r="N114" s="16">
        <f>[1]Items!N100</f>
        <v>0</v>
      </c>
      <c r="O114" s="16">
        <f>[1]Items!O100</f>
        <v>0</v>
      </c>
      <c r="P114" s="16">
        <f>[1]Items!P100</f>
        <v>0</v>
      </c>
      <c r="Q114" s="16">
        <f>[1]Items!Q100</f>
        <v>0</v>
      </c>
      <c r="R114" s="16">
        <f>[1]Items!R100</f>
        <v>0</v>
      </c>
      <c r="S114" s="16">
        <f>[1]Items!S100</f>
        <v>0</v>
      </c>
      <c r="W114">
        <f>IF('Dota 2'!$C$6, (Items!C114+Items!E114)*Items!$X$2, (Items!C114+Items!D114)*Items!$X$2)</f>
        <v>0</v>
      </c>
      <c r="X114">
        <f t="shared" si="6"/>
        <v>0</v>
      </c>
      <c r="Y114">
        <f t="shared" si="7"/>
        <v>0</v>
      </c>
      <c r="Z114">
        <f t="shared" si="8"/>
        <v>0</v>
      </c>
      <c r="AA114">
        <f t="shared" si="9"/>
        <v>0</v>
      </c>
      <c r="AB114">
        <f>('Dota 2'!$H$10/$Z$4) * (1-($Y$9*($AA$2+J114))/($Y$7+$Y$9*ABS($AA$2+J114)) - $Z$4)</f>
        <v>0</v>
      </c>
      <c r="AC114">
        <f>IF('Dota 2'!$C$6, K114*M114*(1-$Z$3)*'Dota 2'!$H$8, K114*L114*(1-$Z$3)*'Dota 2'!$H$8)</f>
        <v>0</v>
      </c>
      <c r="AD114">
        <f>N114*O114*'Dota 2'!$H$10</f>
        <v>0</v>
      </c>
      <c r="AE114" s="2">
        <f t="shared" si="10"/>
        <v>0</v>
      </c>
      <c r="AF114" s="17">
        <f t="shared" si="11"/>
        <v>0</v>
      </c>
    </row>
    <row r="115" spans="1:32" x14ac:dyDescent="0.25">
      <c r="A115" s="6">
        <f>[1]Items!$A101</f>
        <v>0</v>
      </c>
      <c r="B115" s="16">
        <f>[1]Items!B101</f>
        <v>0</v>
      </c>
      <c r="C115" s="16">
        <f>[1]Items!C101</f>
        <v>0</v>
      </c>
      <c r="D115" s="16">
        <f>[1]Items!D101</f>
        <v>0</v>
      </c>
      <c r="E115" s="16">
        <f>[1]Items!E101</f>
        <v>0</v>
      </c>
      <c r="F115" s="16">
        <f>[1]Items!F101</f>
        <v>0</v>
      </c>
      <c r="G115" s="16">
        <f>[1]Items!G101</f>
        <v>0</v>
      </c>
      <c r="H115" s="16">
        <f>[1]Items!H101</f>
        <v>0</v>
      </c>
      <c r="I115" s="16">
        <f>[1]Items!I101</f>
        <v>0</v>
      </c>
      <c r="J115" s="16">
        <f>[1]Items!J101</f>
        <v>0</v>
      </c>
      <c r="K115" s="16">
        <f>[1]Items!K101</f>
        <v>0</v>
      </c>
      <c r="L115" s="16">
        <f>[1]Items!L101</f>
        <v>0</v>
      </c>
      <c r="M115" s="16">
        <f>[1]Items!M101</f>
        <v>0</v>
      </c>
      <c r="N115" s="16">
        <f>[1]Items!N101</f>
        <v>0</v>
      </c>
      <c r="O115" s="16">
        <f>[1]Items!O101</f>
        <v>0</v>
      </c>
      <c r="P115" s="16">
        <f>[1]Items!P101</f>
        <v>0</v>
      </c>
      <c r="Q115" s="16">
        <f>[1]Items!Q101</f>
        <v>0</v>
      </c>
      <c r="R115" s="16">
        <f>[1]Items!R101</f>
        <v>0</v>
      </c>
      <c r="S115" s="16">
        <f>[1]Items!S101</f>
        <v>0</v>
      </c>
      <c r="W115">
        <f>IF('Dota 2'!$C$6, (Items!C115+Items!E115)*Items!$X$2, (Items!C115+Items!D115)*Items!$X$2)</f>
        <v>0</v>
      </c>
      <c r="X115">
        <f t="shared" si="6"/>
        <v>0</v>
      </c>
      <c r="Y115">
        <f t="shared" si="7"/>
        <v>0</v>
      </c>
      <c r="Z115">
        <f t="shared" si="8"/>
        <v>0</v>
      </c>
      <c r="AA115">
        <f t="shared" si="9"/>
        <v>0</v>
      </c>
      <c r="AB115">
        <f>('Dota 2'!$H$10/$Z$4) * (1-($Y$9*($AA$2+J115))/($Y$7+$Y$9*ABS($AA$2+J115)) - $Z$4)</f>
        <v>0</v>
      </c>
      <c r="AC115">
        <f>IF('Dota 2'!$C$6, K115*M115*(1-$Z$3)*'Dota 2'!$H$8, K115*L115*(1-$Z$3)*'Dota 2'!$H$8)</f>
        <v>0</v>
      </c>
      <c r="AD115">
        <f>N115*O115*'Dota 2'!$H$10</f>
        <v>0</v>
      </c>
      <c r="AE115" s="2">
        <f t="shared" si="10"/>
        <v>0</v>
      </c>
      <c r="AF115" s="17">
        <f t="shared" si="11"/>
        <v>0</v>
      </c>
    </row>
    <row r="116" spans="1:32" x14ac:dyDescent="0.25">
      <c r="A116" s="6">
        <f>[1]Items!$A102</f>
        <v>0</v>
      </c>
      <c r="B116" s="16">
        <f>[1]Items!B102</f>
        <v>0</v>
      </c>
      <c r="C116" s="16">
        <f>[1]Items!C102</f>
        <v>0</v>
      </c>
      <c r="D116" s="16">
        <f>[1]Items!D102</f>
        <v>0</v>
      </c>
      <c r="E116" s="16">
        <f>[1]Items!E102</f>
        <v>0</v>
      </c>
      <c r="F116" s="16">
        <f>[1]Items!F102</f>
        <v>0</v>
      </c>
      <c r="G116" s="16">
        <f>[1]Items!G102</f>
        <v>0</v>
      </c>
      <c r="H116" s="16">
        <f>[1]Items!H102</f>
        <v>0</v>
      </c>
      <c r="I116" s="16">
        <f>[1]Items!I102</f>
        <v>0</v>
      </c>
      <c r="J116" s="16">
        <f>[1]Items!J102</f>
        <v>0</v>
      </c>
      <c r="K116" s="16">
        <f>[1]Items!K102</f>
        <v>0</v>
      </c>
      <c r="L116" s="16">
        <f>[1]Items!L102</f>
        <v>0</v>
      </c>
      <c r="M116" s="16">
        <f>[1]Items!M102</f>
        <v>0</v>
      </c>
      <c r="N116" s="16">
        <f>[1]Items!N102</f>
        <v>0</v>
      </c>
      <c r="O116" s="16">
        <f>[1]Items!O102</f>
        <v>0</v>
      </c>
      <c r="P116" s="16">
        <f>[1]Items!P102</f>
        <v>0</v>
      </c>
      <c r="Q116" s="16">
        <f>[1]Items!Q102</f>
        <v>0</v>
      </c>
      <c r="R116" s="16">
        <f>[1]Items!R102</f>
        <v>0</v>
      </c>
      <c r="S116" s="16">
        <f>[1]Items!S102</f>
        <v>0</v>
      </c>
      <c r="W116">
        <f>IF('Dota 2'!$C$6, (Items!C116+Items!E116)*Items!$X$2, (Items!C116+Items!D116)*Items!$X$2)</f>
        <v>0</v>
      </c>
      <c r="X116">
        <f t="shared" si="6"/>
        <v>0</v>
      </c>
      <c r="Y116">
        <f t="shared" si="7"/>
        <v>0</v>
      </c>
      <c r="Z116">
        <f t="shared" si="8"/>
        <v>0</v>
      </c>
      <c r="AA116">
        <f t="shared" si="9"/>
        <v>0</v>
      </c>
      <c r="AB116">
        <f>('Dota 2'!$H$10/$Z$4) * (1-($Y$9*($AA$2+J116))/($Y$7+$Y$9*ABS($AA$2+J116)) - $Z$4)</f>
        <v>0</v>
      </c>
      <c r="AC116">
        <f>IF('Dota 2'!$C$6, K116*M116*(1-$Z$3)*'Dota 2'!$H$8, K116*L116*(1-$Z$3)*'Dota 2'!$H$8)</f>
        <v>0</v>
      </c>
      <c r="AD116">
        <f>N116*O116*'Dota 2'!$H$10</f>
        <v>0</v>
      </c>
      <c r="AE116" s="2">
        <f t="shared" si="10"/>
        <v>0</v>
      </c>
      <c r="AF116" s="17">
        <f t="shared" si="11"/>
        <v>0</v>
      </c>
    </row>
    <row r="117" spans="1:32" x14ac:dyDescent="0.25">
      <c r="A117" s="6">
        <f>[1]Items!$A103</f>
        <v>0</v>
      </c>
      <c r="B117" s="16">
        <f>[1]Items!B103</f>
        <v>0</v>
      </c>
      <c r="C117" s="16">
        <f>[1]Items!C103</f>
        <v>0</v>
      </c>
      <c r="D117" s="16">
        <f>[1]Items!D103</f>
        <v>0</v>
      </c>
      <c r="E117" s="16">
        <f>[1]Items!E103</f>
        <v>0</v>
      </c>
      <c r="F117" s="16">
        <f>[1]Items!F103</f>
        <v>0</v>
      </c>
      <c r="G117" s="16">
        <f>[1]Items!G103</f>
        <v>0</v>
      </c>
      <c r="H117" s="16">
        <f>[1]Items!H103</f>
        <v>0</v>
      </c>
      <c r="I117" s="16">
        <f>[1]Items!I103</f>
        <v>0</v>
      </c>
      <c r="J117" s="16">
        <f>[1]Items!J103</f>
        <v>0</v>
      </c>
      <c r="K117" s="16">
        <f>[1]Items!K103</f>
        <v>0</v>
      </c>
      <c r="L117" s="16">
        <f>[1]Items!L103</f>
        <v>0</v>
      </c>
      <c r="M117" s="16">
        <f>[1]Items!M103</f>
        <v>0</v>
      </c>
      <c r="N117" s="16">
        <f>[1]Items!N103</f>
        <v>0</v>
      </c>
      <c r="O117" s="16">
        <f>[1]Items!O103</f>
        <v>0</v>
      </c>
      <c r="P117" s="16">
        <f>[1]Items!P103</f>
        <v>0</v>
      </c>
      <c r="Q117" s="16">
        <f>[1]Items!Q103</f>
        <v>0</v>
      </c>
      <c r="R117" s="16">
        <f>[1]Items!R103</f>
        <v>0</v>
      </c>
      <c r="S117" s="16">
        <f>[1]Items!S103</f>
        <v>0</v>
      </c>
      <c r="W117">
        <f>IF('Dota 2'!$C$6, (Items!C117+Items!E117)*Items!$X$2, (Items!C117+Items!D117)*Items!$X$2)</f>
        <v>0</v>
      </c>
      <c r="X117">
        <f t="shared" si="6"/>
        <v>0</v>
      </c>
      <c r="Y117">
        <f t="shared" si="7"/>
        <v>0</v>
      </c>
      <c r="Z117">
        <f t="shared" si="8"/>
        <v>0</v>
      </c>
      <c r="AA117">
        <f t="shared" si="9"/>
        <v>0</v>
      </c>
      <c r="AB117">
        <f>('Dota 2'!$H$10/$Z$4) * (1-($Y$9*($AA$2+J117))/($Y$7+$Y$9*ABS($AA$2+J117)) - $Z$4)</f>
        <v>0</v>
      </c>
      <c r="AC117">
        <f>IF('Dota 2'!$C$6, K117*M117*(1-$Z$3)*'Dota 2'!$H$8, K117*L117*(1-$Z$3)*'Dota 2'!$H$8)</f>
        <v>0</v>
      </c>
      <c r="AD117">
        <f>N117*O117*'Dota 2'!$H$10</f>
        <v>0</v>
      </c>
      <c r="AE117" s="2">
        <f t="shared" si="10"/>
        <v>0</v>
      </c>
      <c r="AF117" s="17">
        <f t="shared" si="11"/>
        <v>0</v>
      </c>
    </row>
    <row r="118" spans="1:32" x14ac:dyDescent="0.25">
      <c r="A118" s="6">
        <f>[1]Items!$A104</f>
        <v>0</v>
      </c>
      <c r="B118" s="16">
        <f>[1]Items!B104</f>
        <v>0</v>
      </c>
      <c r="C118" s="16">
        <f>[1]Items!C104</f>
        <v>0</v>
      </c>
      <c r="D118" s="16">
        <f>[1]Items!D104</f>
        <v>0</v>
      </c>
      <c r="E118" s="16">
        <f>[1]Items!E104</f>
        <v>0</v>
      </c>
      <c r="F118" s="16">
        <f>[1]Items!F104</f>
        <v>0</v>
      </c>
      <c r="G118" s="16">
        <f>[1]Items!G104</f>
        <v>0</v>
      </c>
      <c r="H118" s="16">
        <f>[1]Items!H104</f>
        <v>0</v>
      </c>
      <c r="I118" s="16">
        <f>[1]Items!I104</f>
        <v>0</v>
      </c>
      <c r="J118" s="16">
        <f>[1]Items!J104</f>
        <v>0</v>
      </c>
      <c r="K118" s="16">
        <f>[1]Items!K104</f>
        <v>0</v>
      </c>
      <c r="L118" s="16">
        <f>[1]Items!L104</f>
        <v>0</v>
      </c>
      <c r="M118" s="16">
        <f>[1]Items!M104</f>
        <v>0</v>
      </c>
      <c r="N118" s="16">
        <f>[1]Items!N104</f>
        <v>0</v>
      </c>
      <c r="O118" s="16">
        <f>[1]Items!O104</f>
        <v>0</v>
      </c>
      <c r="P118" s="16">
        <f>[1]Items!P104</f>
        <v>0</v>
      </c>
      <c r="Q118" s="16">
        <f>[1]Items!Q104</f>
        <v>0</v>
      </c>
      <c r="R118" s="16">
        <f>[1]Items!R104</f>
        <v>0</v>
      </c>
      <c r="S118" s="16">
        <f>[1]Items!S104</f>
        <v>0</v>
      </c>
      <c r="W118">
        <f>IF('Dota 2'!$C$6, (Items!C118+Items!E118)*Items!$X$2, (Items!C118+Items!D118)*Items!$X$2)</f>
        <v>0</v>
      </c>
      <c r="X118">
        <f t="shared" si="6"/>
        <v>0</v>
      </c>
      <c r="Y118">
        <f t="shared" si="7"/>
        <v>0</v>
      </c>
      <c r="Z118">
        <f t="shared" si="8"/>
        <v>0</v>
      </c>
      <c r="AA118">
        <f t="shared" si="9"/>
        <v>0</v>
      </c>
      <c r="AB118">
        <f>('Dota 2'!$H$10/$Z$4) * (1-($Y$9*($AA$2+J118))/($Y$7+$Y$9*ABS($AA$2+J118)) - $Z$4)</f>
        <v>0</v>
      </c>
      <c r="AC118">
        <f>IF('Dota 2'!$C$6, K118*M118*(1-$Z$3)*'Dota 2'!$H$8, K118*L118*(1-$Z$3)*'Dota 2'!$H$8)</f>
        <v>0</v>
      </c>
      <c r="AD118">
        <f>N118*O118*'Dota 2'!$H$10</f>
        <v>0</v>
      </c>
      <c r="AE118" s="2">
        <f t="shared" si="10"/>
        <v>0</v>
      </c>
      <c r="AF118" s="17">
        <f t="shared" si="11"/>
        <v>0</v>
      </c>
    </row>
    <row r="119" spans="1:32" x14ac:dyDescent="0.25">
      <c r="A119" s="6">
        <f>[1]Items!$A105</f>
        <v>0</v>
      </c>
      <c r="B119" s="16">
        <f>[1]Items!B105</f>
        <v>0</v>
      </c>
      <c r="C119" s="16">
        <f>[1]Items!C105</f>
        <v>0</v>
      </c>
      <c r="D119" s="16">
        <f>[1]Items!D105</f>
        <v>0</v>
      </c>
      <c r="E119" s="16">
        <f>[1]Items!E105</f>
        <v>0</v>
      </c>
      <c r="F119" s="16">
        <f>[1]Items!F105</f>
        <v>0</v>
      </c>
      <c r="G119" s="16">
        <f>[1]Items!G105</f>
        <v>0</v>
      </c>
      <c r="H119" s="16">
        <f>[1]Items!H105</f>
        <v>0</v>
      </c>
      <c r="I119" s="16">
        <f>[1]Items!I105</f>
        <v>0</v>
      </c>
      <c r="J119" s="16">
        <f>[1]Items!J105</f>
        <v>0</v>
      </c>
      <c r="K119" s="16">
        <f>[1]Items!K105</f>
        <v>0</v>
      </c>
      <c r="L119" s="16">
        <f>[1]Items!L105</f>
        <v>0</v>
      </c>
      <c r="M119" s="16">
        <f>[1]Items!M105</f>
        <v>0</v>
      </c>
      <c r="N119" s="16">
        <f>[1]Items!N105</f>
        <v>0</v>
      </c>
      <c r="O119" s="16">
        <f>[1]Items!O105</f>
        <v>0</v>
      </c>
      <c r="P119" s="16">
        <f>[1]Items!P105</f>
        <v>0</v>
      </c>
      <c r="Q119" s="16">
        <f>[1]Items!Q105</f>
        <v>0</v>
      </c>
      <c r="R119" s="16">
        <f>[1]Items!R105</f>
        <v>0</v>
      </c>
      <c r="S119" s="16">
        <f>[1]Items!S105</f>
        <v>0</v>
      </c>
      <c r="W119">
        <f>IF('Dota 2'!$C$6, (Items!C119+Items!E119)*Items!$X$2, (Items!C119+Items!D119)*Items!$X$2)</f>
        <v>0</v>
      </c>
      <c r="X119">
        <f t="shared" si="6"/>
        <v>0</v>
      </c>
      <c r="Y119">
        <f t="shared" si="7"/>
        <v>0</v>
      </c>
      <c r="Z119">
        <f t="shared" si="8"/>
        <v>0</v>
      </c>
      <c r="AA119">
        <f t="shared" si="9"/>
        <v>0</v>
      </c>
      <c r="AB119">
        <f>('Dota 2'!$H$10/$Z$4) * (1-($Y$9*($AA$2+J119))/($Y$7+$Y$9*ABS($AA$2+J119)) - $Z$4)</f>
        <v>0</v>
      </c>
      <c r="AC119">
        <f>IF('Dota 2'!$C$6, K119*M119*(1-$Z$3)*'Dota 2'!$H$8, K119*L119*(1-$Z$3)*'Dota 2'!$H$8)</f>
        <v>0</v>
      </c>
      <c r="AD119">
        <f>N119*O119*'Dota 2'!$H$10</f>
        <v>0</v>
      </c>
      <c r="AE119" s="2">
        <f t="shared" si="10"/>
        <v>0</v>
      </c>
      <c r="AF119" s="17">
        <f t="shared" si="11"/>
        <v>0</v>
      </c>
    </row>
    <row r="120" spans="1:32" x14ac:dyDescent="0.25">
      <c r="A120" s="6">
        <f>[1]Items!$A106</f>
        <v>0</v>
      </c>
      <c r="B120" s="16">
        <f>[1]Items!B106</f>
        <v>0</v>
      </c>
      <c r="C120" s="16">
        <f>[1]Items!C106</f>
        <v>0</v>
      </c>
      <c r="D120" s="16">
        <f>[1]Items!D106</f>
        <v>0</v>
      </c>
      <c r="E120" s="16">
        <f>[1]Items!E106</f>
        <v>0</v>
      </c>
      <c r="F120" s="16">
        <f>[1]Items!F106</f>
        <v>0</v>
      </c>
      <c r="G120" s="16">
        <f>[1]Items!G106</f>
        <v>0</v>
      </c>
      <c r="H120" s="16">
        <f>[1]Items!H106</f>
        <v>0</v>
      </c>
      <c r="I120" s="16">
        <f>[1]Items!I106</f>
        <v>0</v>
      </c>
      <c r="J120" s="16">
        <f>[1]Items!J106</f>
        <v>0</v>
      </c>
      <c r="K120" s="16">
        <f>[1]Items!K106</f>
        <v>0</v>
      </c>
      <c r="L120" s="16">
        <f>[1]Items!L106</f>
        <v>0</v>
      </c>
      <c r="M120" s="16">
        <f>[1]Items!M106</f>
        <v>0</v>
      </c>
      <c r="N120" s="16">
        <f>[1]Items!N106</f>
        <v>0</v>
      </c>
      <c r="O120" s="16">
        <f>[1]Items!O106</f>
        <v>0</v>
      </c>
      <c r="P120" s="16">
        <f>[1]Items!P106</f>
        <v>0</v>
      </c>
      <c r="Q120" s="16">
        <f>[1]Items!Q106</f>
        <v>0</v>
      </c>
      <c r="R120" s="16">
        <f>[1]Items!R106</f>
        <v>0</v>
      </c>
      <c r="S120" s="16">
        <f>[1]Items!S106</f>
        <v>0</v>
      </c>
      <c r="W120">
        <f>IF('Dota 2'!$C$6, (Items!C120+Items!E120)*Items!$X$2, (Items!C120+Items!D120)*Items!$X$2)</f>
        <v>0</v>
      </c>
      <c r="X120">
        <f t="shared" si="6"/>
        <v>0</v>
      </c>
      <c r="Y120">
        <f t="shared" si="7"/>
        <v>0</v>
      </c>
      <c r="Z120">
        <f t="shared" si="8"/>
        <v>0</v>
      </c>
      <c r="AA120">
        <f t="shared" si="9"/>
        <v>0</v>
      </c>
      <c r="AB120">
        <f>('Dota 2'!$H$10/$Z$4) * (1-($Y$9*($AA$2+J120))/($Y$7+$Y$9*ABS($AA$2+J120)) - $Z$4)</f>
        <v>0</v>
      </c>
      <c r="AC120">
        <f>IF('Dota 2'!$C$6, K120*M120*(1-$Z$3)*'Dota 2'!$H$8, K120*L120*(1-$Z$3)*'Dota 2'!$H$8)</f>
        <v>0</v>
      </c>
      <c r="AD120">
        <f>N120*O120*'Dota 2'!$H$10</f>
        <v>0</v>
      </c>
      <c r="AE120" s="2">
        <f t="shared" si="10"/>
        <v>0</v>
      </c>
      <c r="AF120" s="17">
        <f t="shared" si="11"/>
        <v>0</v>
      </c>
    </row>
    <row r="121" spans="1:32" x14ac:dyDescent="0.25">
      <c r="A121" s="6">
        <f>[1]Items!$A107</f>
        <v>0</v>
      </c>
      <c r="B121" s="16">
        <f>[1]Items!B107</f>
        <v>0</v>
      </c>
      <c r="C121" s="16">
        <f>[1]Items!C107</f>
        <v>0</v>
      </c>
      <c r="D121" s="16">
        <f>[1]Items!D107</f>
        <v>0</v>
      </c>
      <c r="E121" s="16">
        <f>[1]Items!E107</f>
        <v>0</v>
      </c>
      <c r="F121" s="16">
        <f>[1]Items!F107</f>
        <v>0</v>
      </c>
      <c r="G121" s="16">
        <f>[1]Items!G107</f>
        <v>0</v>
      </c>
      <c r="H121" s="16">
        <f>[1]Items!H107</f>
        <v>0</v>
      </c>
      <c r="I121" s="16">
        <f>[1]Items!I107</f>
        <v>0</v>
      </c>
      <c r="J121" s="16">
        <f>[1]Items!J107</f>
        <v>0</v>
      </c>
      <c r="K121" s="16">
        <f>[1]Items!K107</f>
        <v>0</v>
      </c>
      <c r="L121" s="16">
        <f>[1]Items!L107</f>
        <v>0</v>
      </c>
      <c r="M121" s="16">
        <f>[1]Items!M107</f>
        <v>0</v>
      </c>
      <c r="N121" s="16">
        <f>[1]Items!N107</f>
        <v>0</v>
      </c>
      <c r="O121" s="16">
        <f>[1]Items!O107</f>
        <v>0</v>
      </c>
      <c r="P121" s="16">
        <f>[1]Items!P107</f>
        <v>0</v>
      </c>
      <c r="Q121" s="16">
        <f>[1]Items!Q107</f>
        <v>0</v>
      </c>
      <c r="R121" s="16">
        <f>[1]Items!R107</f>
        <v>0</v>
      </c>
      <c r="S121" s="16">
        <f>[1]Items!S107</f>
        <v>0</v>
      </c>
      <c r="W121">
        <f>IF('Dota 2'!$C$6, (Items!C121+Items!E121)*Items!$X$2, (Items!C121+Items!D121)*Items!$X$2)</f>
        <v>0</v>
      </c>
      <c r="X121">
        <f t="shared" si="6"/>
        <v>0</v>
      </c>
      <c r="Y121">
        <f t="shared" si="7"/>
        <v>0</v>
      </c>
      <c r="Z121">
        <f t="shared" si="8"/>
        <v>0</v>
      </c>
      <c r="AA121">
        <f t="shared" si="9"/>
        <v>0</v>
      </c>
      <c r="AB121">
        <f>('Dota 2'!$H$10/$Z$4) * (1-($Y$9*($AA$2+J121))/($Y$7+$Y$9*ABS($AA$2+J121)) - $Z$4)</f>
        <v>0</v>
      </c>
      <c r="AC121">
        <f>IF('Dota 2'!$C$6, K121*M121*(1-$Z$3)*'Dota 2'!$H$8, K121*L121*(1-$Z$3)*'Dota 2'!$H$8)</f>
        <v>0</v>
      </c>
      <c r="AD121">
        <f>N121*O121*'Dota 2'!$H$10</f>
        <v>0</v>
      </c>
      <c r="AE121" s="2">
        <f t="shared" si="10"/>
        <v>0</v>
      </c>
      <c r="AF121" s="17">
        <f t="shared" si="11"/>
        <v>0</v>
      </c>
    </row>
    <row r="122" spans="1:32" x14ac:dyDescent="0.25">
      <c r="A122" s="6">
        <f>[1]Items!$A108</f>
        <v>0</v>
      </c>
      <c r="B122" s="16">
        <f>[1]Items!B108</f>
        <v>0</v>
      </c>
      <c r="C122" s="16">
        <f>[1]Items!C108</f>
        <v>0</v>
      </c>
      <c r="D122" s="16">
        <f>[1]Items!D108</f>
        <v>0</v>
      </c>
      <c r="E122" s="16">
        <f>[1]Items!E108</f>
        <v>0</v>
      </c>
      <c r="F122" s="16">
        <f>[1]Items!F108</f>
        <v>0</v>
      </c>
      <c r="G122" s="16">
        <f>[1]Items!G108</f>
        <v>0</v>
      </c>
      <c r="H122" s="16">
        <f>[1]Items!H108</f>
        <v>0</v>
      </c>
      <c r="I122" s="16">
        <f>[1]Items!I108</f>
        <v>0</v>
      </c>
      <c r="J122" s="16">
        <f>[1]Items!J108</f>
        <v>0</v>
      </c>
      <c r="K122" s="16">
        <f>[1]Items!K108</f>
        <v>0</v>
      </c>
      <c r="L122" s="16">
        <f>[1]Items!L108</f>
        <v>0</v>
      </c>
      <c r="M122" s="16">
        <f>[1]Items!M108</f>
        <v>0</v>
      </c>
      <c r="N122" s="16">
        <f>[1]Items!N108</f>
        <v>0</v>
      </c>
      <c r="O122" s="16">
        <f>[1]Items!O108</f>
        <v>0</v>
      </c>
      <c r="P122" s="16">
        <f>[1]Items!P108</f>
        <v>0</v>
      </c>
      <c r="Q122" s="16">
        <f>[1]Items!Q108</f>
        <v>0</v>
      </c>
      <c r="R122" s="16">
        <f>[1]Items!R108</f>
        <v>0</v>
      </c>
      <c r="S122" s="16">
        <f>[1]Items!S108</f>
        <v>0</v>
      </c>
      <c r="W122">
        <f>IF('Dota 2'!$C$6, (Items!C122+Items!E122)*Items!$X$2, (Items!C122+Items!D122)*Items!$X$2)</f>
        <v>0</v>
      </c>
      <c r="X122">
        <f t="shared" si="6"/>
        <v>0</v>
      </c>
      <c r="Y122">
        <f t="shared" si="7"/>
        <v>0</v>
      </c>
      <c r="Z122">
        <f t="shared" si="8"/>
        <v>0</v>
      </c>
      <c r="AA122">
        <f t="shared" si="9"/>
        <v>0</v>
      </c>
      <c r="AB122">
        <f>('Dota 2'!$H$10/$Z$4) * (1-($Y$9*($AA$2+J122))/($Y$7+$Y$9*ABS($AA$2+J122)) - $Z$4)</f>
        <v>0</v>
      </c>
      <c r="AC122">
        <f>IF('Dota 2'!$C$6, K122*M122*(1-$Z$3)*'Dota 2'!$H$8, K122*L122*(1-$Z$3)*'Dota 2'!$H$8)</f>
        <v>0</v>
      </c>
      <c r="AD122">
        <f>N122*O122*'Dota 2'!$H$10</f>
        <v>0</v>
      </c>
      <c r="AE122" s="2">
        <f t="shared" si="10"/>
        <v>0</v>
      </c>
      <c r="AF122" s="17">
        <f t="shared" si="11"/>
        <v>0</v>
      </c>
    </row>
    <row r="123" spans="1:32" x14ac:dyDescent="0.25">
      <c r="A123" s="6">
        <f>[1]Items!$A109</f>
        <v>0</v>
      </c>
      <c r="B123" s="16">
        <f>[1]Items!B109</f>
        <v>0</v>
      </c>
      <c r="C123" s="16">
        <f>[1]Items!C109</f>
        <v>0</v>
      </c>
      <c r="D123" s="16">
        <f>[1]Items!D109</f>
        <v>0</v>
      </c>
      <c r="E123" s="16">
        <f>[1]Items!E109</f>
        <v>0</v>
      </c>
      <c r="F123" s="16">
        <f>[1]Items!F109</f>
        <v>0</v>
      </c>
      <c r="G123" s="16">
        <f>[1]Items!G109</f>
        <v>0</v>
      </c>
      <c r="H123" s="16">
        <f>[1]Items!H109</f>
        <v>0</v>
      </c>
      <c r="I123" s="16">
        <f>[1]Items!I109</f>
        <v>0</v>
      </c>
      <c r="J123" s="16">
        <f>[1]Items!J109</f>
        <v>0</v>
      </c>
      <c r="K123" s="16">
        <f>[1]Items!K109</f>
        <v>0</v>
      </c>
      <c r="L123" s="16">
        <f>[1]Items!L109</f>
        <v>0</v>
      </c>
      <c r="M123" s="16">
        <f>[1]Items!M109</f>
        <v>0</v>
      </c>
      <c r="N123" s="16">
        <f>[1]Items!N109</f>
        <v>0</v>
      </c>
      <c r="O123" s="16">
        <f>[1]Items!O109</f>
        <v>0</v>
      </c>
      <c r="P123" s="16">
        <f>[1]Items!P109</f>
        <v>0</v>
      </c>
      <c r="Q123" s="16">
        <f>[1]Items!Q109</f>
        <v>0</v>
      </c>
      <c r="R123" s="16">
        <f>[1]Items!R109</f>
        <v>0</v>
      </c>
      <c r="S123" s="16">
        <f>[1]Items!S109</f>
        <v>0</v>
      </c>
      <c r="W123">
        <f>IF('Dota 2'!$C$6, (Items!C123+Items!E123)*Items!$X$2, (Items!C123+Items!D123)*Items!$X$2)</f>
        <v>0</v>
      </c>
      <c r="X123">
        <f t="shared" si="6"/>
        <v>0</v>
      </c>
      <c r="Y123">
        <f t="shared" si="7"/>
        <v>0</v>
      </c>
      <c r="Z123">
        <f t="shared" si="8"/>
        <v>0</v>
      </c>
      <c r="AA123">
        <f t="shared" si="9"/>
        <v>0</v>
      </c>
      <c r="AB123">
        <f>('Dota 2'!$H$10/$Z$4) * (1-($Y$9*($AA$2+J123))/($Y$7+$Y$9*ABS($AA$2+J123)) - $Z$4)</f>
        <v>0</v>
      </c>
      <c r="AC123">
        <f>IF('Dota 2'!$C$6, K123*M123*(1-$Z$3)*'Dota 2'!$H$8, K123*L123*(1-$Z$3)*'Dota 2'!$H$8)</f>
        <v>0</v>
      </c>
      <c r="AD123">
        <f>N123*O123*'Dota 2'!$H$10</f>
        <v>0</v>
      </c>
      <c r="AE123" s="2">
        <f t="shared" si="10"/>
        <v>0</v>
      </c>
      <c r="AF123" s="17">
        <f t="shared" si="11"/>
        <v>0</v>
      </c>
    </row>
    <row r="124" spans="1:32" x14ac:dyDescent="0.25">
      <c r="A124" s="6">
        <f>[1]Items!$A110</f>
        <v>0</v>
      </c>
      <c r="B124" s="16">
        <f>[1]Items!B110</f>
        <v>0</v>
      </c>
      <c r="C124" s="16">
        <f>[1]Items!C110</f>
        <v>0</v>
      </c>
      <c r="D124" s="16">
        <f>[1]Items!D110</f>
        <v>0</v>
      </c>
      <c r="E124" s="16">
        <f>[1]Items!E110</f>
        <v>0</v>
      </c>
      <c r="F124" s="16">
        <f>[1]Items!F110</f>
        <v>0</v>
      </c>
      <c r="G124" s="16">
        <f>[1]Items!G110</f>
        <v>0</v>
      </c>
      <c r="H124" s="16">
        <f>[1]Items!H110</f>
        <v>0</v>
      </c>
      <c r="I124" s="16">
        <f>[1]Items!I110</f>
        <v>0</v>
      </c>
      <c r="J124" s="16">
        <f>[1]Items!J110</f>
        <v>0</v>
      </c>
      <c r="K124" s="16">
        <f>[1]Items!K110</f>
        <v>0</v>
      </c>
      <c r="L124" s="16">
        <f>[1]Items!L110</f>
        <v>0</v>
      </c>
      <c r="M124" s="16">
        <f>[1]Items!M110</f>
        <v>0</v>
      </c>
      <c r="N124" s="16">
        <f>[1]Items!N110</f>
        <v>0</v>
      </c>
      <c r="O124" s="16">
        <f>[1]Items!O110</f>
        <v>0</v>
      </c>
      <c r="P124" s="16">
        <f>[1]Items!P110</f>
        <v>0</v>
      </c>
      <c r="Q124" s="16">
        <f>[1]Items!Q110</f>
        <v>0</v>
      </c>
      <c r="R124" s="16">
        <f>[1]Items!R110</f>
        <v>0</v>
      </c>
      <c r="S124" s="16">
        <f>[1]Items!S110</f>
        <v>0</v>
      </c>
      <c r="W124">
        <f>IF('Dota 2'!$C$6, (Items!C124+Items!E124)*Items!$X$2, (Items!C124+Items!D124)*Items!$X$2)</f>
        <v>0</v>
      </c>
      <c r="X124">
        <f t="shared" si="6"/>
        <v>0</v>
      </c>
      <c r="Y124">
        <f t="shared" si="7"/>
        <v>0</v>
      </c>
      <c r="Z124">
        <f t="shared" si="8"/>
        <v>0</v>
      </c>
      <c r="AA124">
        <f t="shared" si="9"/>
        <v>0</v>
      </c>
      <c r="AB124">
        <f>('Dota 2'!$H$10/$Z$4) * (1-($Y$9*($AA$2+J124))/($Y$7+$Y$9*ABS($AA$2+J124)) - $Z$4)</f>
        <v>0</v>
      </c>
      <c r="AC124">
        <f>IF('Dota 2'!$C$6, K124*M124*(1-$Z$3)*'Dota 2'!$H$8, K124*L124*(1-$Z$3)*'Dota 2'!$H$8)</f>
        <v>0</v>
      </c>
      <c r="AD124">
        <f>N124*O124*'Dota 2'!$H$10</f>
        <v>0</v>
      </c>
      <c r="AE124" s="2">
        <f t="shared" si="10"/>
        <v>0</v>
      </c>
      <c r="AF124" s="17">
        <f t="shared" si="11"/>
        <v>0</v>
      </c>
    </row>
    <row r="125" spans="1:32" x14ac:dyDescent="0.25">
      <c r="A125" s="6">
        <f>[1]Items!$A111</f>
        <v>0</v>
      </c>
      <c r="B125" s="16">
        <f>[1]Items!B111</f>
        <v>0</v>
      </c>
      <c r="C125" s="16">
        <f>[1]Items!C111</f>
        <v>0</v>
      </c>
      <c r="D125" s="16">
        <f>[1]Items!D111</f>
        <v>0</v>
      </c>
      <c r="E125" s="16">
        <f>[1]Items!E111</f>
        <v>0</v>
      </c>
      <c r="F125" s="16">
        <f>[1]Items!F111</f>
        <v>0</v>
      </c>
      <c r="G125" s="16">
        <f>[1]Items!G111</f>
        <v>0</v>
      </c>
      <c r="H125" s="16">
        <f>[1]Items!H111</f>
        <v>0</v>
      </c>
      <c r="I125" s="16">
        <f>[1]Items!I111</f>
        <v>0</v>
      </c>
      <c r="J125" s="16">
        <f>[1]Items!J111</f>
        <v>0</v>
      </c>
      <c r="K125" s="16">
        <f>[1]Items!K111</f>
        <v>0</v>
      </c>
      <c r="L125" s="16">
        <f>[1]Items!L111</f>
        <v>0</v>
      </c>
      <c r="M125" s="16">
        <f>[1]Items!M111</f>
        <v>0</v>
      </c>
      <c r="N125" s="16">
        <f>[1]Items!N111</f>
        <v>0</v>
      </c>
      <c r="O125" s="16">
        <f>[1]Items!O111</f>
        <v>0</v>
      </c>
      <c r="P125" s="16">
        <f>[1]Items!P111</f>
        <v>0</v>
      </c>
      <c r="Q125" s="16">
        <f>[1]Items!Q111</f>
        <v>0</v>
      </c>
      <c r="R125" s="16">
        <f>[1]Items!R111</f>
        <v>0</v>
      </c>
      <c r="S125" s="16">
        <f>[1]Items!S111</f>
        <v>0</v>
      </c>
      <c r="W125">
        <f>IF('Dota 2'!$C$6, (Items!C125+Items!E125)*Items!$X$2, (Items!C125+Items!D125)*Items!$X$2)</f>
        <v>0</v>
      </c>
      <c r="X125">
        <f t="shared" si="6"/>
        <v>0</v>
      </c>
      <c r="Y125">
        <f t="shared" si="7"/>
        <v>0</v>
      </c>
      <c r="Z125">
        <f t="shared" si="8"/>
        <v>0</v>
      </c>
      <c r="AA125">
        <f t="shared" si="9"/>
        <v>0</v>
      </c>
      <c r="AB125">
        <f>('Dota 2'!$H$10/$Z$4) * (1-($Y$9*($AA$2+J125))/($Y$7+$Y$9*ABS($AA$2+J125)) - $Z$4)</f>
        <v>0</v>
      </c>
      <c r="AC125">
        <f>IF('Dota 2'!$C$6, K125*M125*(1-$Z$3)*'Dota 2'!$H$8, K125*L125*(1-$Z$3)*'Dota 2'!$H$8)</f>
        <v>0</v>
      </c>
      <c r="AD125">
        <f>N125*O125*'Dota 2'!$H$10</f>
        <v>0</v>
      </c>
      <c r="AE125" s="2">
        <f t="shared" si="10"/>
        <v>0</v>
      </c>
      <c r="AF125" s="17">
        <f t="shared" si="11"/>
        <v>0</v>
      </c>
    </row>
    <row r="126" spans="1:32" x14ac:dyDescent="0.25">
      <c r="A126" s="6">
        <f>[1]Items!$A112</f>
        <v>0</v>
      </c>
      <c r="B126" s="16">
        <f>[1]Items!B112</f>
        <v>0</v>
      </c>
      <c r="C126" s="16">
        <f>[1]Items!C112</f>
        <v>0</v>
      </c>
      <c r="D126" s="16">
        <f>[1]Items!D112</f>
        <v>0</v>
      </c>
      <c r="E126" s="16">
        <f>[1]Items!E112</f>
        <v>0</v>
      </c>
      <c r="F126" s="16">
        <f>[1]Items!F112</f>
        <v>0</v>
      </c>
      <c r="G126" s="16">
        <f>[1]Items!G112</f>
        <v>0</v>
      </c>
      <c r="H126" s="16">
        <f>[1]Items!H112</f>
        <v>0</v>
      </c>
      <c r="I126" s="16">
        <f>[1]Items!I112</f>
        <v>0</v>
      </c>
      <c r="J126" s="16">
        <f>[1]Items!J112</f>
        <v>0</v>
      </c>
      <c r="K126" s="16">
        <f>[1]Items!K112</f>
        <v>0</v>
      </c>
      <c r="L126" s="16">
        <f>[1]Items!L112</f>
        <v>0</v>
      </c>
      <c r="M126" s="16">
        <f>[1]Items!M112</f>
        <v>0</v>
      </c>
      <c r="N126" s="16">
        <f>[1]Items!N112</f>
        <v>0</v>
      </c>
      <c r="O126" s="16">
        <f>[1]Items!O112</f>
        <v>0</v>
      </c>
      <c r="P126" s="16">
        <f>[1]Items!P112</f>
        <v>0</v>
      </c>
      <c r="Q126" s="16">
        <f>[1]Items!Q112</f>
        <v>0</v>
      </c>
      <c r="R126" s="16">
        <f>[1]Items!R112</f>
        <v>0</v>
      </c>
      <c r="S126" s="16">
        <f>[1]Items!S112</f>
        <v>0</v>
      </c>
      <c r="W126">
        <f>IF('Dota 2'!$C$6, (Items!C126+Items!E126)*Items!$X$2, (Items!C126+Items!D126)*Items!$X$2)</f>
        <v>0</v>
      </c>
      <c r="X126">
        <f t="shared" si="6"/>
        <v>0</v>
      </c>
      <c r="Y126">
        <f t="shared" si="7"/>
        <v>0</v>
      </c>
      <c r="Z126">
        <f t="shared" si="8"/>
        <v>0</v>
      </c>
      <c r="AA126">
        <f t="shared" si="9"/>
        <v>0</v>
      </c>
      <c r="AB126">
        <f>('Dota 2'!$H$10/$Z$4) * (1-($Y$9*($AA$2+J126))/($Y$7+$Y$9*ABS($AA$2+J126)) - $Z$4)</f>
        <v>0</v>
      </c>
      <c r="AC126">
        <f>IF('Dota 2'!$C$6, K126*M126*(1-$Z$3)*'Dota 2'!$H$8, K126*L126*(1-$Z$3)*'Dota 2'!$H$8)</f>
        <v>0</v>
      </c>
      <c r="AD126">
        <f>N126*O126*'Dota 2'!$H$10</f>
        <v>0</v>
      </c>
      <c r="AE126" s="2">
        <f t="shared" si="10"/>
        <v>0</v>
      </c>
      <c r="AF126" s="17">
        <f t="shared" si="11"/>
        <v>0</v>
      </c>
    </row>
    <row r="127" spans="1:32" x14ac:dyDescent="0.25">
      <c r="A127" s="6">
        <f>[1]Items!$A113</f>
        <v>0</v>
      </c>
      <c r="B127" s="16">
        <f>[1]Items!B113</f>
        <v>0</v>
      </c>
      <c r="C127" s="16">
        <f>[1]Items!C113</f>
        <v>0</v>
      </c>
      <c r="D127" s="16">
        <f>[1]Items!D113</f>
        <v>0</v>
      </c>
      <c r="E127" s="16">
        <f>[1]Items!E113</f>
        <v>0</v>
      </c>
      <c r="F127" s="16">
        <f>[1]Items!F113</f>
        <v>0</v>
      </c>
      <c r="G127" s="16">
        <f>[1]Items!G113</f>
        <v>0</v>
      </c>
      <c r="H127" s="16">
        <f>[1]Items!H113</f>
        <v>0</v>
      </c>
      <c r="I127" s="16">
        <f>[1]Items!I113</f>
        <v>0</v>
      </c>
      <c r="J127" s="16">
        <f>[1]Items!J113</f>
        <v>0</v>
      </c>
      <c r="K127" s="16">
        <f>[1]Items!K113</f>
        <v>0</v>
      </c>
      <c r="L127" s="16">
        <f>[1]Items!L113</f>
        <v>0</v>
      </c>
      <c r="M127" s="16">
        <f>[1]Items!M113</f>
        <v>0</v>
      </c>
      <c r="N127" s="16">
        <f>[1]Items!N113</f>
        <v>0</v>
      </c>
      <c r="O127" s="16">
        <f>[1]Items!O113</f>
        <v>0</v>
      </c>
      <c r="P127" s="16">
        <f>[1]Items!P113</f>
        <v>0</v>
      </c>
      <c r="Q127" s="16">
        <f>[1]Items!Q113</f>
        <v>0</v>
      </c>
      <c r="R127" s="16">
        <f>[1]Items!R113</f>
        <v>0</v>
      </c>
      <c r="S127" s="16">
        <f>[1]Items!S113</f>
        <v>0</v>
      </c>
      <c r="W127">
        <f>IF('Dota 2'!$C$6, (Items!C127+Items!E127)*Items!$X$2, (Items!C127+Items!D127)*Items!$X$2)</f>
        <v>0</v>
      </c>
      <c r="X127">
        <f t="shared" si="6"/>
        <v>0</v>
      </c>
      <c r="Y127">
        <f t="shared" si="7"/>
        <v>0</v>
      </c>
      <c r="Z127">
        <f t="shared" si="8"/>
        <v>0</v>
      </c>
      <c r="AA127">
        <f t="shared" si="9"/>
        <v>0</v>
      </c>
      <c r="AB127">
        <f>('Dota 2'!$H$10/$Z$4) * (1-($Y$9*($AA$2+J127))/($Y$7+$Y$9*ABS($AA$2+J127)) - $Z$4)</f>
        <v>0</v>
      </c>
      <c r="AC127">
        <f>IF('Dota 2'!$C$6, K127*M127*(1-$Z$3)*'Dota 2'!$H$8, K127*L127*(1-$Z$3)*'Dota 2'!$H$8)</f>
        <v>0</v>
      </c>
      <c r="AD127">
        <f>N127*O127*'Dota 2'!$H$10</f>
        <v>0</v>
      </c>
      <c r="AE127" s="2">
        <f t="shared" si="10"/>
        <v>0</v>
      </c>
      <c r="AF127" s="17">
        <f t="shared" si="11"/>
        <v>0</v>
      </c>
    </row>
    <row r="128" spans="1:32" x14ac:dyDescent="0.25">
      <c r="A128" s="6">
        <f>[1]Items!$A114</f>
        <v>0</v>
      </c>
      <c r="B128" s="16">
        <f>[1]Items!B114</f>
        <v>0</v>
      </c>
      <c r="C128" s="16">
        <f>[1]Items!C114</f>
        <v>0</v>
      </c>
      <c r="D128" s="16">
        <f>[1]Items!D114</f>
        <v>0</v>
      </c>
      <c r="E128" s="16">
        <f>[1]Items!E114</f>
        <v>0</v>
      </c>
      <c r="F128" s="16">
        <f>[1]Items!F114</f>
        <v>0</v>
      </c>
      <c r="G128" s="16">
        <f>[1]Items!G114</f>
        <v>0</v>
      </c>
      <c r="H128" s="16">
        <f>[1]Items!H114</f>
        <v>0</v>
      </c>
      <c r="I128" s="16">
        <f>[1]Items!I114</f>
        <v>0</v>
      </c>
      <c r="J128" s="16">
        <f>[1]Items!J114</f>
        <v>0</v>
      </c>
      <c r="K128" s="16">
        <f>[1]Items!K114</f>
        <v>0</v>
      </c>
      <c r="L128" s="16">
        <f>[1]Items!L114</f>
        <v>0</v>
      </c>
      <c r="M128" s="16">
        <f>[1]Items!M114</f>
        <v>0</v>
      </c>
      <c r="N128" s="16">
        <f>[1]Items!N114</f>
        <v>0</v>
      </c>
      <c r="O128" s="16">
        <f>[1]Items!O114</f>
        <v>0</v>
      </c>
      <c r="P128" s="16">
        <f>[1]Items!P114</f>
        <v>0</v>
      </c>
      <c r="Q128" s="16">
        <f>[1]Items!Q114</f>
        <v>0</v>
      </c>
      <c r="R128" s="16">
        <f>[1]Items!R114</f>
        <v>0</v>
      </c>
      <c r="S128" s="16">
        <f>[1]Items!S114</f>
        <v>0</v>
      </c>
      <c r="W128">
        <f>IF('Dota 2'!$C$6, (Items!C128+Items!E128)*Items!$X$2, (Items!C128+Items!D128)*Items!$X$2)</f>
        <v>0</v>
      </c>
      <c r="X128">
        <f t="shared" si="6"/>
        <v>0</v>
      </c>
      <c r="Y128">
        <f t="shared" si="7"/>
        <v>0</v>
      </c>
      <c r="Z128">
        <f t="shared" si="8"/>
        <v>0</v>
      </c>
      <c r="AA128">
        <f t="shared" si="9"/>
        <v>0</v>
      </c>
      <c r="AB128">
        <f>('Dota 2'!$H$10/$Z$4) * (1-($Y$9*($AA$2+J128))/($Y$7+$Y$9*ABS($AA$2+J128)) - $Z$4)</f>
        <v>0</v>
      </c>
      <c r="AC128">
        <f>IF('Dota 2'!$C$6, K128*M128*(1-$Z$3)*'Dota 2'!$H$8, K128*L128*(1-$Z$3)*'Dota 2'!$H$8)</f>
        <v>0</v>
      </c>
      <c r="AD128">
        <f>N128*O128*'Dota 2'!$H$10</f>
        <v>0</v>
      </c>
      <c r="AE128" s="2">
        <f t="shared" si="10"/>
        <v>0</v>
      </c>
      <c r="AF128" s="17">
        <f t="shared" si="11"/>
        <v>0</v>
      </c>
    </row>
    <row r="129" spans="1:32" x14ac:dyDescent="0.25">
      <c r="A129" s="6">
        <f>[1]Items!$A115</f>
        <v>0</v>
      </c>
      <c r="B129" s="16">
        <f>[1]Items!B115</f>
        <v>0</v>
      </c>
      <c r="C129" s="16">
        <f>[1]Items!C115</f>
        <v>0</v>
      </c>
      <c r="D129" s="16">
        <f>[1]Items!D115</f>
        <v>0</v>
      </c>
      <c r="E129" s="16">
        <f>[1]Items!E115</f>
        <v>0</v>
      </c>
      <c r="F129" s="16">
        <f>[1]Items!F115</f>
        <v>0</v>
      </c>
      <c r="G129" s="16">
        <f>[1]Items!G115</f>
        <v>0</v>
      </c>
      <c r="H129" s="16">
        <f>[1]Items!H115</f>
        <v>0</v>
      </c>
      <c r="I129" s="16">
        <f>[1]Items!I115</f>
        <v>0</v>
      </c>
      <c r="J129" s="16">
        <f>[1]Items!J115</f>
        <v>0</v>
      </c>
      <c r="K129" s="16">
        <f>[1]Items!K115</f>
        <v>0</v>
      </c>
      <c r="L129" s="16">
        <f>[1]Items!L115</f>
        <v>0</v>
      </c>
      <c r="M129" s="16">
        <f>[1]Items!M115</f>
        <v>0</v>
      </c>
      <c r="N129" s="16">
        <f>[1]Items!N115</f>
        <v>0</v>
      </c>
      <c r="O129" s="16">
        <f>[1]Items!O115</f>
        <v>0</v>
      </c>
      <c r="P129" s="16">
        <f>[1]Items!P115</f>
        <v>0</v>
      </c>
      <c r="Q129" s="16">
        <f>[1]Items!Q115</f>
        <v>0</v>
      </c>
      <c r="R129" s="16">
        <f>[1]Items!R115</f>
        <v>0</v>
      </c>
      <c r="S129" s="16">
        <f>[1]Items!S115</f>
        <v>0</v>
      </c>
      <c r="W129">
        <f>IF('Dota 2'!$C$6, (Items!C129+Items!E129)*Items!$X$2, (Items!C129+Items!D129)*Items!$X$2)</f>
        <v>0</v>
      </c>
      <c r="X129">
        <f t="shared" si="6"/>
        <v>0</v>
      </c>
      <c r="Y129">
        <f t="shared" si="7"/>
        <v>0</v>
      </c>
      <c r="Z129">
        <f t="shared" si="8"/>
        <v>0</v>
      </c>
      <c r="AA129">
        <f t="shared" si="9"/>
        <v>0</v>
      </c>
      <c r="AB129">
        <f>('Dota 2'!$H$10/$Z$4) * (1-($Y$9*($AA$2+J129))/($Y$7+$Y$9*ABS($AA$2+J129)) - $Z$4)</f>
        <v>0</v>
      </c>
      <c r="AC129">
        <f>IF('Dota 2'!$C$6, K129*M129*(1-$Z$3)*'Dota 2'!$H$8, K129*L129*(1-$Z$3)*'Dota 2'!$H$8)</f>
        <v>0</v>
      </c>
      <c r="AD129">
        <f>N129*O129*'Dota 2'!$H$10</f>
        <v>0</v>
      </c>
      <c r="AE129" s="2">
        <f t="shared" si="10"/>
        <v>0</v>
      </c>
      <c r="AF129" s="17">
        <f t="shared" si="11"/>
        <v>0</v>
      </c>
    </row>
    <row r="130" spans="1:32" x14ac:dyDescent="0.25">
      <c r="A130" s="6">
        <f>[1]Items!$A116</f>
        <v>0</v>
      </c>
      <c r="B130" s="16">
        <f>[1]Items!B116</f>
        <v>0</v>
      </c>
      <c r="C130" s="16">
        <f>[1]Items!C116</f>
        <v>0</v>
      </c>
      <c r="D130" s="16">
        <f>[1]Items!D116</f>
        <v>0</v>
      </c>
      <c r="E130" s="16">
        <f>[1]Items!E116</f>
        <v>0</v>
      </c>
      <c r="F130" s="16">
        <f>[1]Items!F116</f>
        <v>0</v>
      </c>
      <c r="G130" s="16">
        <f>[1]Items!G116</f>
        <v>0</v>
      </c>
      <c r="H130" s="16">
        <f>[1]Items!H116</f>
        <v>0</v>
      </c>
      <c r="I130" s="16">
        <f>[1]Items!I116</f>
        <v>0</v>
      </c>
      <c r="J130" s="16">
        <f>[1]Items!J116</f>
        <v>0</v>
      </c>
      <c r="K130" s="16">
        <f>[1]Items!K116</f>
        <v>0</v>
      </c>
      <c r="L130" s="16">
        <f>[1]Items!L116</f>
        <v>0</v>
      </c>
      <c r="M130" s="16">
        <f>[1]Items!M116</f>
        <v>0</v>
      </c>
      <c r="N130" s="16">
        <f>[1]Items!N116</f>
        <v>0</v>
      </c>
      <c r="O130" s="16">
        <f>[1]Items!O116</f>
        <v>0</v>
      </c>
      <c r="P130" s="16">
        <f>[1]Items!P116</f>
        <v>0</v>
      </c>
      <c r="Q130" s="16">
        <f>[1]Items!Q116</f>
        <v>0</v>
      </c>
      <c r="R130" s="16">
        <f>[1]Items!R116</f>
        <v>0</v>
      </c>
      <c r="S130" s="16">
        <f>[1]Items!S116</f>
        <v>0</v>
      </c>
      <c r="W130">
        <f>IF('Dota 2'!$C$6, (Items!C130+Items!E130)*Items!$X$2, (Items!C130+Items!D130)*Items!$X$2)</f>
        <v>0</v>
      </c>
      <c r="X130">
        <f t="shared" si="6"/>
        <v>0</v>
      </c>
      <c r="Y130">
        <f t="shared" si="7"/>
        <v>0</v>
      </c>
      <c r="Z130">
        <f t="shared" si="8"/>
        <v>0</v>
      </c>
      <c r="AA130">
        <f t="shared" si="9"/>
        <v>0</v>
      </c>
      <c r="AB130">
        <f>('Dota 2'!$H$10/$Z$4) * (1-($Y$9*($AA$2+J130))/($Y$7+$Y$9*ABS($AA$2+J130)) - $Z$4)</f>
        <v>0</v>
      </c>
      <c r="AC130">
        <f>IF('Dota 2'!$C$6, K130*M130*(1-$Z$3)*'Dota 2'!$H$8, K130*L130*(1-$Z$3)*'Dota 2'!$H$8)</f>
        <v>0</v>
      </c>
      <c r="AD130">
        <f>N130*O130*'Dota 2'!$H$10</f>
        <v>0</v>
      </c>
      <c r="AE130" s="2">
        <f t="shared" si="10"/>
        <v>0</v>
      </c>
      <c r="AF130" s="17">
        <f t="shared" si="11"/>
        <v>0</v>
      </c>
    </row>
    <row r="131" spans="1:32" x14ac:dyDescent="0.25">
      <c r="A131" s="6">
        <f>[1]Items!$A117</f>
        <v>0</v>
      </c>
      <c r="B131" s="16">
        <f>[1]Items!B117</f>
        <v>0</v>
      </c>
      <c r="C131" s="16">
        <f>[1]Items!C117</f>
        <v>0</v>
      </c>
      <c r="D131" s="16">
        <f>[1]Items!D117</f>
        <v>0</v>
      </c>
      <c r="E131" s="16">
        <f>[1]Items!E117</f>
        <v>0</v>
      </c>
      <c r="F131" s="16">
        <f>[1]Items!F117</f>
        <v>0</v>
      </c>
      <c r="G131" s="16">
        <f>[1]Items!G117</f>
        <v>0</v>
      </c>
      <c r="H131" s="16">
        <f>[1]Items!H117</f>
        <v>0</v>
      </c>
      <c r="I131" s="16">
        <f>[1]Items!I117</f>
        <v>0</v>
      </c>
      <c r="J131" s="16">
        <f>[1]Items!J117</f>
        <v>0</v>
      </c>
      <c r="K131" s="16">
        <f>[1]Items!K117</f>
        <v>0</v>
      </c>
      <c r="L131" s="16">
        <f>[1]Items!L117</f>
        <v>0</v>
      </c>
      <c r="M131" s="16">
        <f>[1]Items!M117</f>
        <v>0</v>
      </c>
      <c r="N131" s="16">
        <f>[1]Items!N117</f>
        <v>0</v>
      </c>
      <c r="O131" s="16">
        <f>[1]Items!O117</f>
        <v>0</v>
      </c>
      <c r="P131" s="16">
        <f>[1]Items!P117</f>
        <v>0</v>
      </c>
      <c r="Q131" s="16">
        <f>[1]Items!Q117</f>
        <v>0</v>
      </c>
      <c r="R131" s="16">
        <f>[1]Items!R117</f>
        <v>0</v>
      </c>
      <c r="S131" s="16">
        <f>[1]Items!S117</f>
        <v>0</v>
      </c>
      <c r="W131">
        <f>IF('Dota 2'!$C$6, (Items!C131+Items!E131)*Items!$X$2, (Items!C131+Items!D131)*Items!$X$2)</f>
        <v>0</v>
      </c>
      <c r="X131">
        <f t="shared" si="6"/>
        <v>0</v>
      </c>
      <c r="Y131">
        <f t="shared" si="7"/>
        <v>0</v>
      </c>
      <c r="Z131">
        <f t="shared" si="8"/>
        <v>0</v>
      </c>
      <c r="AA131">
        <f t="shared" si="9"/>
        <v>0</v>
      </c>
      <c r="AB131">
        <f>('Dota 2'!$H$10/$Z$4) * (1-($Y$9*($AA$2+J131))/($Y$7+$Y$9*ABS($AA$2+J131)) - $Z$4)</f>
        <v>0</v>
      </c>
      <c r="AC131">
        <f>IF('Dota 2'!$C$6, K131*M131*(1-$Z$3)*'Dota 2'!$H$8, K131*L131*(1-$Z$3)*'Dota 2'!$H$8)</f>
        <v>0</v>
      </c>
      <c r="AD131">
        <f>N131*O131*'Dota 2'!$H$10</f>
        <v>0</v>
      </c>
      <c r="AE131" s="2">
        <f t="shared" si="10"/>
        <v>0</v>
      </c>
      <c r="AF131" s="17">
        <f t="shared" si="11"/>
        <v>0</v>
      </c>
    </row>
    <row r="132" spans="1:32" x14ac:dyDescent="0.25">
      <c r="A132" s="6">
        <f>[1]Items!$A118</f>
        <v>0</v>
      </c>
      <c r="B132" s="16">
        <f>[1]Items!B118</f>
        <v>0</v>
      </c>
      <c r="C132" s="16">
        <f>[1]Items!C118</f>
        <v>0</v>
      </c>
      <c r="D132" s="16">
        <f>[1]Items!D118</f>
        <v>0</v>
      </c>
      <c r="E132" s="16">
        <f>[1]Items!E118</f>
        <v>0</v>
      </c>
      <c r="F132" s="16">
        <f>[1]Items!F118</f>
        <v>0</v>
      </c>
      <c r="G132" s="16">
        <f>[1]Items!G118</f>
        <v>0</v>
      </c>
      <c r="H132" s="16">
        <f>[1]Items!H118</f>
        <v>0</v>
      </c>
      <c r="I132" s="16">
        <f>[1]Items!I118</f>
        <v>0</v>
      </c>
      <c r="J132" s="16">
        <f>[1]Items!J118</f>
        <v>0</v>
      </c>
      <c r="K132" s="16">
        <f>[1]Items!K118</f>
        <v>0</v>
      </c>
      <c r="L132" s="16">
        <f>[1]Items!L118</f>
        <v>0</v>
      </c>
      <c r="M132" s="16">
        <f>[1]Items!M118</f>
        <v>0</v>
      </c>
      <c r="N132" s="16">
        <f>[1]Items!N118</f>
        <v>0</v>
      </c>
      <c r="O132" s="16">
        <f>[1]Items!O118</f>
        <v>0</v>
      </c>
      <c r="P132" s="16">
        <f>[1]Items!P118</f>
        <v>0</v>
      </c>
      <c r="Q132" s="16">
        <f>[1]Items!Q118</f>
        <v>0</v>
      </c>
      <c r="R132" s="16">
        <f>[1]Items!R118</f>
        <v>0</v>
      </c>
      <c r="S132" s="16">
        <f>[1]Items!S118</f>
        <v>0</v>
      </c>
      <c r="W132">
        <f>IF('Dota 2'!$C$6, (Items!C132+Items!E132)*Items!$X$2, (Items!C132+Items!D132)*Items!$X$2)</f>
        <v>0</v>
      </c>
      <c r="X132">
        <f t="shared" si="6"/>
        <v>0</v>
      </c>
      <c r="Y132">
        <f t="shared" si="7"/>
        <v>0</v>
      </c>
      <c r="Z132">
        <f t="shared" si="8"/>
        <v>0</v>
      </c>
      <c r="AA132">
        <f t="shared" si="9"/>
        <v>0</v>
      </c>
      <c r="AB132">
        <f>('Dota 2'!$H$10/$Z$4) * (1-($Y$9*($AA$2+J132))/($Y$7+$Y$9*ABS($AA$2+J132)) - $Z$4)</f>
        <v>0</v>
      </c>
      <c r="AC132">
        <f>IF('Dota 2'!$C$6, K132*M132*(1-$Z$3)*'Dota 2'!$H$8, K132*L132*(1-$Z$3)*'Dota 2'!$H$8)</f>
        <v>0</v>
      </c>
      <c r="AD132">
        <f>N132*O132*'Dota 2'!$H$10</f>
        <v>0</v>
      </c>
      <c r="AE132" s="2">
        <f t="shared" si="10"/>
        <v>0</v>
      </c>
      <c r="AF132" s="17">
        <f t="shared" si="11"/>
        <v>0</v>
      </c>
    </row>
    <row r="133" spans="1:32" x14ac:dyDescent="0.25">
      <c r="A133" s="6">
        <f>[1]Items!$A119</f>
        <v>0</v>
      </c>
      <c r="B133" s="16">
        <f>[1]Items!B119</f>
        <v>0</v>
      </c>
      <c r="C133" s="16">
        <f>[1]Items!C119</f>
        <v>0</v>
      </c>
      <c r="D133" s="16">
        <f>[1]Items!D119</f>
        <v>0</v>
      </c>
      <c r="E133" s="16">
        <f>[1]Items!E119</f>
        <v>0</v>
      </c>
      <c r="F133" s="16">
        <f>[1]Items!F119</f>
        <v>0</v>
      </c>
      <c r="G133" s="16">
        <f>[1]Items!G119</f>
        <v>0</v>
      </c>
      <c r="H133" s="16">
        <f>[1]Items!H119</f>
        <v>0</v>
      </c>
      <c r="I133" s="16">
        <f>[1]Items!I119</f>
        <v>0</v>
      </c>
      <c r="J133" s="16">
        <f>[1]Items!J119</f>
        <v>0</v>
      </c>
      <c r="K133" s="16">
        <f>[1]Items!K119</f>
        <v>0</v>
      </c>
      <c r="L133" s="16">
        <f>[1]Items!L119</f>
        <v>0</v>
      </c>
      <c r="M133" s="16">
        <f>[1]Items!M119</f>
        <v>0</v>
      </c>
      <c r="N133" s="16">
        <f>[1]Items!N119</f>
        <v>0</v>
      </c>
      <c r="O133" s="16">
        <f>[1]Items!O119</f>
        <v>0</v>
      </c>
      <c r="P133" s="16">
        <f>[1]Items!P119</f>
        <v>0</v>
      </c>
      <c r="Q133" s="16">
        <f>[1]Items!Q119</f>
        <v>0</v>
      </c>
      <c r="R133" s="16">
        <f>[1]Items!R119</f>
        <v>0</v>
      </c>
      <c r="S133" s="16">
        <f>[1]Items!S119</f>
        <v>0</v>
      </c>
      <c r="W133">
        <f>IF('Dota 2'!$C$6, (Items!C133+Items!E133)*Items!$X$2, (Items!C133+Items!D133)*Items!$X$2)</f>
        <v>0</v>
      </c>
      <c r="X133">
        <f t="shared" si="6"/>
        <v>0</v>
      </c>
      <c r="Y133">
        <f t="shared" si="7"/>
        <v>0</v>
      </c>
      <c r="Z133">
        <f t="shared" si="8"/>
        <v>0</v>
      </c>
      <c r="AA133">
        <f t="shared" si="9"/>
        <v>0</v>
      </c>
      <c r="AB133">
        <f>('Dota 2'!$H$10/$Z$4) * (1-($Y$9*($AA$2+J133))/($Y$7+$Y$9*ABS($AA$2+J133)) - $Z$4)</f>
        <v>0</v>
      </c>
      <c r="AC133">
        <f>IF('Dota 2'!$C$6, K133*M133*(1-$Z$3)*'Dota 2'!$H$8, K133*L133*(1-$Z$3)*'Dota 2'!$H$8)</f>
        <v>0</v>
      </c>
      <c r="AD133">
        <f>N133*O133*'Dota 2'!$H$10</f>
        <v>0</v>
      </c>
      <c r="AE133" s="2">
        <f t="shared" si="10"/>
        <v>0</v>
      </c>
      <c r="AF133" s="17">
        <f t="shared" si="11"/>
        <v>0</v>
      </c>
    </row>
    <row r="134" spans="1:32" x14ac:dyDescent="0.25">
      <c r="A134" s="6">
        <f>[1]Items!$A120</f>
        <v>0</v>
      </c>
      <c r="B134" s="16">
        <f>[1]Items!B120</f>
        <v>0</v>
      </c>
      <c r="C134" s="16">
        <f>[1]Items!C120</f>
        <v>0</v>
      </c>
      <c r="D134" s="16">
        <f>[1]Items!D120</f>
        <v>0</v>
      </c>
      <c r="E134" s="16">
        <f>[1]Items!E120</f>
        <v>0</v>
      </c>
      <c r="F134" s="16">
        <f>[1]Items!F120</f>
        <v>0</v>
      </c>
      <c r="G134" s="16">
        <f>[1]Items!G120</f>
        <v>0</v>
      </c>
      <c r="H134" s="16">
        <f>[1]Items!H120</f>
        <v>0</v>
      </c>
      <c r="I134" s="16">
        <f>[1]Items!I120</f>
        <v>0</v>
      </c>
      <c r="J134" s="16">
        <f>[1]Items!J120</f>
        <v>0</v>
      </c>
      <c r="K134" s="16">
        <f>[1]Items!K120</f>
        <v>0</v>
      </c>
      <c r="L134" s="16">
        <f>[1]Items!L120</f>
        <v>0</v>
      </c>
      <c r="M134" s="16">
        <f>[1]Items!M120</f>
        <v>0</v>
      </c>
      <c r="N134" s="16">
        <f>[1]Items!N120</f>
        <v>0</v>
      </c>
      <c r="O134" s="16">
        <f>[1]Items!O120</f>
        <v>0</v>
      </c>
      <c r="P134" s="16">
        <f>[1]Items!P120</f>
        <v>0</v>
      </c>
      <c r="Q134" s="16">
        <f>[1]Items!Q120</f>
        <v>0</v>
      </c>
      <c r="R134" s="16">
        <f>[1]Items!R120</f>
        <v>0</v>
      </c>
      <c r="S134" s="16">
        <f>[1]Items!S120</f>
        <v>0</v>
      </c>
      <c r="W134">
        <f>IF('Dota 2'!$C$6, (Items!C134+Items!E134)*Items!$X$2, (Items!C134+Items!D134)*Items!$X$2)</f>
        <v>0</v>
      </c>
      <c r="X134">
        <f t="shared" si="6"/>
        <v>0</v>
      </c>
      <c r="Y134">
        <f t="shared" si="7"/>
        <v>0</v>
      </c>
      <c r="Z134">
        <f t="shared" si="8"/>
        <v>0</v>
      </c>
      <c r="AA134">
        <f t="shared" si="9"/>
        <v>0</v>
      </c>
      <c r="AB134">
        <f>('Dota 2'!$H$10/$Z$4) * (1-($Y$9*($AA$2+J134))/($Y$7+$Y$9*ABS($AA$2+J134)) - $Z$4)</f>
        <v>0</v>
      </c>
      <c r="AC134">
        <f>IF('Dota 2'!$C$6, K134*M134*(1-$Z$3)*'Dota 2'!$H$8, K134*L134*(1-$Z$3)*'Dota 2'!$H$8)</f>
        <v>0</v>
      </c>
      <c r="AD134">
        <f>N134*O134*'Dota 2'!$H$10</f>
        <v>0</v>
      </c>
      <c r="AE134" s="2">
        <f t="shared" si="10"/>
        <v>0</v>
      </c>
      <c r="AF134" s="17">
        <f t="shared" si="11"/>
        <v>0</v>
      </c>
    </row>
    <row r="135" spans="1:32" x14ac:dyDescent="0.25">
      <c r="A135" s="6">
        <f>[1]Items!$A121</f>
        <v>0</v>
      </c>
      <c r="B135" s="16">
        <f>[1]Items!B121</f>
        <v>0</v>
      </c>
      <c r="C135" s="16">
        <f>[1]Items!C121</f>
        <v>0</v>
      </c>
      <c r="D135" s="16">
        <f>[1]Items!D121</f>
        <v>0</v>
      </c>
      <c r="E135" s="16">
        <f>[1]Items!E121</f>
        <v>0</v>
      </c>
      <c r="F135" s="16">
        <f>[1]Items!F121</f>
        <v>0</v>
      </c>
      <c r="G135" s="16">
        <f>[1]Items!G121</f>
        <v>0</v>
      </c>
      <c r="H135" s="16">
        <f>[1]Items!H121</f>
        <v>0</v>
      </c>
      <c r="I135" s="16">
        <f>[1]Items!I121</f>
        <v>0</v>
      </c>
      <c r="J135" s="16">
        <f>[1]Items!J121</f>
        <v>0</v>
      </c>
      <c r="K135" s="16">
        <f>[1]Items!K121</f>
        <v>0</v>
      </c>
      <c r="L135" s="16">
        <f>[1]Items!L121</f>
        <v>0</v>
      </c>
      <c r="M135" s="16">
        <f>[1]Items!M121</f>
        <v>0</v>
      </c>
      <c r="N135" s="16">
        <f>[1]Items!N121</f>
        <v>0</v>
      </c>
      <c r="O135" s="16">
        <f>[1]Items!O121</f>
        <v>0</v>
      </c>
      <c r="P135" s="16">
        <f>[1]Items!P121</f>
        <v>0</v>
      </c>
      <c r="Q135" s="16">
        <f>[1]Items!Q121</f>
        <v>0</v>
      </c>
      <c r="R135" s="16">
        <f>[1]Items!R121</f>
        <v>0</v>
      </c>
      <c r="S135" s="16">
        <f>[1]Items!S121</f>
        <v>0</v>
      </c>
      <c r="W135">
        <f>IF('Dota 2'!$C$6, (Items!C135+Items!E135)*Items!$X$2, (Items!C135+Items!D135)*Items!$X$2)</f>
        <v>0</v>
      </c>
      <c r="X135">
        <f t="shared" si="6"/>
        <v>0</v>
      </c>
      <c r="Y135">
        <f t="shared" si="7"/>
        <v>0</v>
      </c>
      <c r="Z135">
        <f t="shared" si="8"/>
        <v>0</v>
      </c>
      <c r="AA135">
        <f t="shared" si="9"/>
        <v>0</v>
      </c>
      <c r="AB135">
        <f>('Dota 2'!$H$10/$Z$4) * (1-($Y$9*($AA$2+J135))/($Y$7+$Y$9*ABS($AA$2+J135)) - $Z$4)</f>
        <v>0</v>
      </c>
      <c r="AC135">
        <f>IF('Dota 2'!$C$6, K135*M135*(1-$Z$3)*'Dota 2'!$H$8, K135*L135*(1-$Z$3)*'Dota 2'!$H$8)</f>
        <v>0</v>
      </c>
      <c r="AD135">
        <f>N135*O135*'Dota 2'!$H$10</f>
        <v>0</v>
      </c>
      <c r="AE135" s="2">
        <f t="shared" si="10"/>
        <v>0</v>
      </c>
      <c r="AF135" s="17">
        <f t="shared" si="11"/>
        <v>0</v>
      </c>
    </row>
    <row r="136" spans="1:32" x14ac:dyDescent="0.25">
      <c r="A136" s="6">
        <f>[1]Items!$A122</f>
        <v>0</v>
      </c>
      <c r="B136" s="16">
        <f>[1]Items!B122</f>
        <v>0</v>
      </c>
      <c r="C136" s="16">
        <f>[1]Items!C122</f>
        <v>0</v>
      </c>
      <c r="D136" s="16">
        <f>[1]Items!D122</f>
        <v>0</v>
      </c>
      <c r="E136" s="16">
        <f>[1]Items!E122</f>
        <v>0</v>
      </c>
      <c r="F136" s="16">
        <f>[1]Items!F122</f>
        <v>0</v>
      </c>
      <c r="G136" s="16">
        <f>[1]Items!G122</f>
        <v>0</v>
      </c>
      <c r="H136" s="16">
        <f>[1]Items!H122</f>
        <v>0</v>
      </c>
      <c r="I136" s="16">
        <f>[1]Items!I122</f>
        <v>0</v>
      </c>
      <c r="J136" s="16">
        <f>[1]Items!J122</f>
        <v>0</v>
      </c>
      <c r="K136" s="16">
        <f>[1]Items!K122</f>
        <v>0</v>
      </c>
      <c r="L136" s="16">
        <f>[1]Items!L122</f>
        <v>0</v>
      </c>
      <c r="M136" s="16">
        <f>[1]Items!M122</f>
        <v>0</v>
      </c>
      <c r="N136" s="16">
        <f>[1]Items!N122</f>
        <v>0</v>
      </c>
      <c r="O136" s="16">
        <f>[1]Items!O122</f>
        <v>0</v>
      </c>
      <c r="P136" s="16">
        <f>[1]Items!P122</f>
        <v>0</v>
      </c>
      <c r="Q136" s="16">
        <f>[1]Items!Q122</f>
        <v>0</v>
      </c>
      <c r="R136" s="16">
        <f>[1]Items!R122</f>
        <v>0</v>
      </c>
      <c r="S136" s="16">
        <f>[1]Items!S122</f>
        <v>0</v>
      </c>
      <c r="W136">
        <f>IF('Dota 2'!$C$6, (Items!C136+Items!E136)*Items!$X$2, (Items!C136+Items!D136)*Items!$X$2)</f>
        <v>0</v>
      </c>
      <c r="X136">
        <f t="shared" si="6"/>
        <v>0</v>
      </c>
      <c r="Y136">
        <f t="shared" si="7"/>
        <v>0</v>
      </c>
      <c r="Z136">
        <f t="shared" si="8"/>
        <v>0</v>
      </c>
      <c r="AA136">
        <f t="shared" si="9"/>
        <v>0</v>
      </c>
      <c r="AB136">
        <f>('Dota 2'!$H$10/$Z$4) * (1-($Y$9*($AA$2+J136))/($Y$7+$Y$9*ABS($AA$2+J136)) - $Z$4)</f>
        <v>0</v>
      </c>
      <c r="AC136">
        <f>IF('Dota 2'!$C$6, K136*M136*(1-$Z$3)*'Dota 2'!$H$8, K136*L136*(1-$Z$3)*'Dota 2'!$H$8)</f>
        <v>0</v>
      </c>
      <c r="AD136">
        <f>N136*O136*'Dota 2'!$H$10</f>
        <v>0</v>
      </c>
      <c r="AE136" s="2">
        <f t="shared" si="10"/>
        <v>0</v>
      </c>
      <c r="AF136" s="17">
        <f t="shared" si="11"/>
        <v>0</v>
      </c>
    </row>
    <row r="137" spans="1:32" x14ac:dyDescent="0.25">
      <c r="A137" s="6">
        <f>[1]Items!$A123</f>
        <v>0</v>
      </c>
      <c r="B137" s="16">
        <f>[1]Items!B123</f>
        <v>0</v>
      </c>
      <c r="C137" s="16">
        <f>[1]Items!C123</f>
        <v>0</v>
      </c>
      <c r="D137" s="16">
        <f>[1]Items!D123</f>
        <v>0</v>
      </c>
      <c r="E137" s="16">
        <f>[1]Items!E123</f>
        <v>0</v>
      </c>
      <c r="F137" s="16">
        <f>[1]Items!F123</f>
        <v>0</v>
      </c>
      <c r="G137" s="16">
        <f>[1]Items!G123</f>
        <v>0</v>
      </c>
      <c r="H137" s="16">
        <f>[1]Items!H123</f>
        <v>0</v>
      </c>
      <c r="I137" s="16">
        <f>[1]Items!I123</f>
        <v>0</v>
      </c>
      <c r="J137" s="16">
        <f>[1]Items!J123</f>
        <v>0</v>
      </c>
      <c r="K137" s="16">
        <f>[1]Items!K123</f>
        <v>0</v>
      </c>
      <c r="L137" s="16">
        <f>[1]Items!L123</f>
        <v>0</v>
      </c>
      <c r="M137" s="16">
        <f>[1]Items!M123</f>
        <v>0</v>
      </c>
      <c r="N137" s="16">
        <f>[1]Items!N123</f>
        <v>0</v>
      </c>
      <c r="O137" s="16">
        <f>[1]Items!O123</f>
        <v>0</v>
      </c>
      <c r="P137" s="16">
        <f>[1]Items!P123</f>
        <v>0</v>
      </c>
      <c r="Q137" s="16">
        <f>[1]Items!Q123</f>
        <v>0</v>
      </c>
      <c r="R137" s="16">
        <f>[1]Items!R123</f>
        <v>0</v>
      </c>
      <c r="S137" s="16">
        <f>[1]Items!S123</f>
        <v>0</v>
      </c>
      <c r="W137">
        <f>IF('Dota 2'!$C$6, (Items!C137+Items!E137)*Items!$X$2, (Items!C137+Items!D137)*Items!$X$2)</f>
        <v>0</v>
      </c>
      <c r="X137">
        <f t="shared" si="6"/>
        <v>0</v>
      </c>
      <c r="Y137">
        <f t="shared" si="7"/>
        <v>0</v>
      </c>
      <c r="Z137">
        <f t="shared" si="8"/>
        <v>0</v>
      </c>
      <c r="AA137">
        <f t="shared" si="9"/>
        <v>0</v>
      </c>
      <c r="AB137">
        <f>('Dota 2'!$H$10/$Z$4) * (1-($Y$9*($AA$2+J137))/($Y$7+$Y$9*ABS($AA$2+J137)) - $Z$4)</f>
        <v>0</v>
      </c>
      <c r="AC137">
        <f>IF('Dota 2'!$C$6, K137*M137*(1-$Z$3)*'Dota 2'!$H$8, K137*L137*(1-$Z$3)*'Dota 2'!$H$8)</f>
        <v>0</v>
      </c>
      <c r="AD137">
        <f>N137*O137*'Dota 2'!$H$10</f>
        <v>0</v>
      </c>
      <c r="AE137" s="2">
        <f t="shared" si="10"/>
        <v>0</v>
      </c>
      <c r="AF137" s="17">
        <f t="shared" si="11"/>
        <v>0</v>
      </c>
    </row>
    <row r="138" spans="1:32" x14ac:dyDescent="0.25">
      <c r="A138" s="6">
        <f>[1]Items!$A124</f>
        <v>0</v>
      </c>
      <c r="B138" s="16">
        <f>[1]Items!B124</f>
        <v>0</v>
      </c>
      <c r="C138" s="16">
        <f>[1]Items!C124</f>
        <v>0</v>
      </c>
      <c r="D138" s="16">
        <f>[1]Items!D124</f>
        <v>0</v>
      </c>
      <c r="E138" s="16">
        <f>[1]Items!E124</f>
        <v>0</v>
      </c>
      <c r="F138" s="16">
        <f>[1]Items!F124</f>
        <v>0</v>
      </c>
      <c r="G138" s="16">
        <f>[1]Items!G124</f>
        <v>0</v>
      </c>
      <c r="H138" s="16">
        <f>[1]Items!H124</f>
        <v>0</v>
      </c>
      <c r="I138" s="16">
        <f>[1]Items!I124</f>
        <v>0</v>
      </c>
      <c r="J138" s="16">
        <f>[1]Items!J124</f>
        <v>0</v>
      </c>
      <c r="K138" s="16">
        <f>[1]Items!K124</f>
        <v>0</v>
      </c>
      <c r="L138" s="16">
        <f>[1]Items!L124</f>
        <v>0</v>
      </c>
      <c r="M138" s="16">
        <f>[1]Items!M124</f>
        <v>0</v>
      </c>
      <c r="N138" s="16">
        <f>[1]Items!N124</f>
        <v>0</v>
      </c>
      <c r="O138" s="16">
        <f>[1]Items!O124</f>
        <v>0</v>
      </c>
      <c r="P138" s="16">
        <f>[1]Items!P124</f>
        <v>0</v>
      </c>
      <c r="Q138" s="16">
        <f>[1]Items!Q124</f>
        <v>0</v>
      </c>
      <c r="R138" s="16">
        <f>[1]Items!R124</f>
        <v>0</v>
      </c>
      <c r="S138" s="16">
        <f>[1]Items!S124</f>
        <v>0</v>
      </c>
      <c r="W138">
        <f>IF('Dota 2'!$C$6, (Items!C138+Items!E138)*Items!$X$2, (Items!C138+Items!D138)*Items!$X$2)</f>
        <v>0</v>
      </c>
      <c r="X138">
        <f t="shared" si="6"/>
        <v>0</v>
      </c>
      <c r="Y138">
        <f t="shared" si="7"/>
        <v>0</v>
      </c>
      <c r="Z138">
        <f t="shared" si="8"/>
        <v>0</v>
      </c>
      <c r="AA138">
        <f t="shared" si="9"/>
        <v>0</v>
      </c>
      <c r="AB138">
        <f>('Dota 2'!$H$10/$Z$4) * (1-($Y$9*($AA$2+J138))/($Y$7+$Y$9*ABS($AA$2+J138)) - $Z$4)</f>
        <v>0</v>
      </c>
      <c r="AC138">
        <f>IF('Dota 2'!$C$6, K138*M138*(1-$Z$3)*'Dota 2'!$H$8, K138*L138*(1-$Z$3)*'Dota 2'!$H$8)</f>
        <v>0</v>
      </c>
      <c r="AD138">
        <f>N138*O138*'Dota 2'!$H$10</f>
        <v>0</v>
      </c>
      <c r="AE138" s="2">
        <f t="shared" si="10"/>
        <v>0</v>
      </c>
      <c r="AF138" s="17">
        <f t="shared" si="11"/>
        <v>0</v>
      </c>
    </row>
    <row r="139" spans="1:32" x14ac:dyDescent="0.25">
      <c r="A139" s="6">
        <f>[1]Items!$A125</f>
        <v>0</v>
      </c>
      <c r="B139" s="16">
        <f>[1]Items!B125</f>
        <v>0</v>
      </c>
      <c r="C139" s="16">
        <f>[1]Items!C125</f>
        <v>0</v>
      </c>
      <c r="D139" s="16">
        <f>[1]Items!D125</f>
        <v>0</v>
      </c>
      <c r="E139" s="16">
        <f>[1]Items!E125</f>
        <v>0</v>
      </c>
      <c r="F139" s="16">
        <f>[1]Items!F125</f>
        <v>0</v>
      </c>
      <c r="G139" s="16">
        <f>[1]Items!G125</f>
        <v>0</v>
      </c>
      <c r="H139" s="16">
        <f>[1]Items!H125</f>
        <v>0</v>
      </c>
      <c r="I139" s="16">
        <f>[1]Items!I125</f>
        <v>0</v>
      </c>
      <c r="J139" s="16">
        <f>[1]Items!J125</f>
        <v>0</v>
      </c>
      <c r="K139" s="16">
        <f>[1]Items!K125</f>
        <v>0</v>
      </c>
      <c r="L139" s="16">
        <f>[1]Items!L125</f>
        <v>0</v>
      </c>
      <c r="M139" s="16">
        <f>[1]Items!M125</f>
        <v>0</v>
      </c>
      <c r="N139" s="16">
        <f>[1]Items!N125</f>
        <v>0</v>
      </c>
      <c r="O139" s="16">
        <f>[1]Items!O125</f>
        <v>0</v>
      </c>
      <c r="P139" s="16">
        <f>[1]Items!P125</f>
        <v>0</v>
      </c>
      <c r="Q139" s="16">
        <f>[1]Items!Q125</f>
        <v>0</v>
      </c>
      <c r="R139" s="16">
        <f>[1]Items!R125</f>
        <v>0</v>
      </c>
      <c r="S139" s="16">
        <f>[1]Items!S125</f>
        <v>0</v>
      </c>
      <c r="W139">
        <f>IF('Dota 2'!$C$6, (Items!C139+Items!E139)*Items!$X$2, (Items!C139+Items!D139)*Items!$X$2)</f>
        <v>0</v>
      </c>
      <c r="X139">
        <f t="shared" si="6"/>
        <v>0</v>
      </c>
      <c r="Y139">
        <f t="shared" si="7"/>
        <v>0</v>
      </c>
      <c r="Z139">
        <f t="shared" si="8"/>
        <v>0</v>
      </c>
      <c r="AA139">
        <f t="shared" si="9"/>
        <v>0</v>
      </c>
      <c r="AB139">
        <f>('Dota 2'!$H$10/$Z$4) * (1-($Y$9*($AA$2+J139))/($Y$7+$Y$9*ABS($AA$2+J139)) - $Z$4)</f>
        <v>0</v>
      </c>
      <c r="AC139">
        <f>IF('Dota 2'!$C$6, K139*M139*(1-$Z$3)*'Dota 2'!$H$8, K139*L139*(1-$Z$3)*'Dota 2'!$H$8)</f>
        <v>0</v>
      </c>
      <c r="AD139">
        <f>N139*O139*'Dota 2'!$H$10</f>
        <v>0</v>
      </c>
      <c r="AE139" s="2">
        <f t="shared" si="10"/>
        <v>0</v>
      </c>
      <c r="AF139" s="17">
        <f t="shared" si="11"/>
        <v>0</v>
      </c>
    </row>
    <row r="140" spans="1:32" x14ac:dyDescent="0.25">
      <c r="A140" s="6">
        <f>[1]Items!$A126</f>
        <v>0</v>
      </c>
      <c r="B140" s="16">
        <f>[1]Items!B126</f>
        <v>0</v>
      </c>
      <c r="C140" s="16">
        <f>[1]Items!C126</f>
        <v>0</v>
      </c>
      <c r="D140" s="16">
        <f>[1]Items!D126</f>
        <v>0</v>
      </c>
      <c r="E140" s="16">
        <f>[1]Items!E126</f>
        <v>0</v>
      </c>
      <c r="F140" s="16">
        <f>[1]Items!F126</f>
        <v>0</v>
      </c>
      <c r="G140" s="16">
        <f>[1]Items!G126</f>
        <v>0</v>
      </c>
      <c r="H140" s="16">
        <f>[1]Items!H126</f>
        <v>0</v>
      </c>
      <c r="I140" s="16">
        <f>[1]Items!I126</f>
        <v>0</v>
      </c>
      <c r="J140" s="16">
        <f>[1]Items!J126</f>
        <v>0</v>
      </c>
      <c r="K140" s="16">
        <f>[1]Items!K126</f>
        <v>0</v>
      </c>
      <c r="L140" s="16">
        <f>[1]Items!L126</f>
        <v>0</v>
      </c>
      <c r="M140" s="16">
        <f>[1]Items!M126</f>
        <v>0</v>
      </c>
      <c r="N140" s="16">
        <f>[1]Items!N126</f>
        <v>0</v>
      </c>
      <c r="O140" s="16">
        <f>[1]Items!O126</f>
        <v>0</v>
      </c>
      <c r="P140" s="16">
        <f>[1]Items!P126</f>
        <v>0</v>
      </c>
      <c r="Q140" s="16">
        <f>[1]Items!Q126</f>
        <v>0</v>
      </c>
      <c r="R140" s="16">
        <f>[1]Items!R126</f>
        <v>0</v>
      </c>
      <c r="S140" s="16">
        <f>[1]Items!S126</f>
        <v>0</v>
      </c>
      <c r="W140">
        <f>IF('Dota 2'!$C$6, (Items!C140+Items!E140)*Items!$X$2, (Items!C140+Items!D140)*Items!$X$2)</f>
        <v>0</v>
      </c>
      <c r="X140">
        <f t="shared" si="6"/>
        <v>0</v>
      </c>
      <c r="Y140">
        <f t="shared" si="7"/>
        <v>0</v>
      </c>
      <c r="Z140">
        <f t="shared" si="8"/>
        <v>0</v>
      </c>
      <c r="AA140">
        <f t="shared" si="9"/>
        <v>0</v>
      </c>
      <c r="AB140">
        <f>('Dota 2'!$H$10/$Z$4) * (1-($Y$9*($AA$2+J140))/($Y$7+$Y$9*ABS($AA$2+J140)) - $Z$4)</f>
        <v>0</v>
      </c>
      <c r="AC140">
        <f>IF('Dota 2'!$C$6, K140*M140*(1-$Z$3)*'Dota 2'!$H$8, K140*L140*(1-$Z$3)*'Dota 2'!$H$8)</f>
        <v>0</v>
      </c>
      <c r="AD140">
        <f>N140*O140*'Dota 2'!$H$10</f>
        <v>0</v>
      </c>
      <c r="AE140" s="2">
        <f t="shared" si="10"/>
        <v>0</v>
      </c>
      <c r="AF140" s="17">
        <f t="shared" si="11"/>
        <v>0</v>
      </c>
    </row>
    <row r="141" spans="1:32" x14ac:dyDescent="0.25">
      <c r="A141" s="6">
        <f>[1]Items!$A127</f>
        <v>0</v>
      </c>
      <c r="B141" s="16">
        <f>[1]Items!B127</f>
        <v>0</v>
      </c>
      <c r="C141" s="16">
        <f>[1]Items!C127</f>
        <v>0</v>
      </c>
      <c r="D141" s="16">
        <f>[1]Items!D127</f>
        <v>0</v>
      </c>
      <c r="E141" s="16">
        <f>[1]Items!E127</f>
        <v>0</v>
      </c>
      <c r="F141" s="16">
        <f>[1]Items!F127</f>
        <v>0</v>
      </c>
      <c r="G141" s="16">
        <f>[1]Items!G127</f>
        <v>0</v>
      </c>
      <c r="H141" s="16">
        <f>[1]Items!H127</f>
        <v>0</v>
      </c>
      <c r="I141" s="16">
        <f>[1]Items!I127</f>
        <v>0</v>
      </c>
      <c r="J141" s="16">
        <f>[1]Items!J127</f>
        <v>0</v>
      </c>
      <c r="K141" s="16">
        <f>[1]Items!K127</f>
        <v>0</v>
      </c>
      <c r="L141" s="16">
        <f>[1]Items!L127</f>
        <v>0</v>
      </c>
      <c r="M141" s="16">
        <f>[1]Items!M127</f>
        <v>0</v>
      </c>
      <c r="N141" s="16">
        <f>[1]Items!N127</f>
        <v>0</v>
      </c>
      <c r="O141" s="16">
        <f>[1]Items!O127</f>
        <v>0</v>
      </c>
      <c r="P141" s="16">
        <f>[1]Items!P127</f>
        <v>0</v>
      </c>
      <c r="Q141" s="16">
        <f>[1]Items!Q127</f>
        <v>0</v>
      </c>
      <c r="R141" s="16">
        <f>[1]Items!R127</f>
        <v>0</v>
      </c>
      <c r="S141" s="16">
        <f>[1]Items!S127</f>
        <v>0</v>
      </c>
      <c r="W141">
        <f>IF('Dota 2'!$C$6, (Items!C141+Items!E141)*Items!$X$2, (Items!C141+Items!D141)*Items!$X$2)</f>
        <v>0</v>
      </c>
      <c r="X141">
        <f t="shared" si="6"/>
        <v>0</v>
      </c>
      <c r="Y141">
        <f t="shared" si="7"/>
        <v>0</v>
      </c>
      <c r="Z141">
        <f t="shared" si="8"/>
        <v>0</v>
      </c>
      <c r="AA141">
        <f t="shared" si="9"/>
        <v>0</v>
      </c>
      <c r="AB141">
        <f>('Dota 2'!$H$10/$Z$4) * (1-($Y$9*($AA$2+J141))/($Y$7+$Y$9*ABS($AA$2+J141)) - $Z$4)</f>
        <v>0</v>
      </c>
      <c r="AC141">
        <f>IF('Dota 2'!$C$6, K141*M141*(1-$Z$3)*'Dota 2'!$H$8, K141*L141*(1-$Z$3)*'Dota 2'!$H$8)</f>
        <v>0</v>
      </c>
      <c r="AD141">
        <f>N141*O141*'Dota 2'!$H$10</f>
        <v>0</v>
      </c>
      <c r="AE141" s="2">
        <f t="shared" si="10"/>
        <v>0</v>
      </c>
      <c r="AF141" s="17">
        <f t="shared" si="11"/>
        <v>0</v>
      </c>
    </row>
    <row r="142" spans="1:32" x14ac:dyDescent="0.25">
      <c r="A142" s="6">
        <f>[1]Items!$A128</f>
        <v>0</v>
      </c>
      <c r="B142" s="16">
        <f>[1]Items!B128</f>
        <v>0</v>
      </c>
      <c r="C142" s="16">
        <f>[1]Items!C128</f>
        <v>0</v>
      </c>
      <c r="D142" s="16">
        <f>[1]Items!D128</f>
        <v>0</v>
      </c>
      <c r="E142" s="16">
        <f>[1]Items!E128</f>
        <v>0</v>
      </c>
      <c r="F142" s="16">
        <f>[1]Items!F128</f>
        <v>0</v>
      </c>
      <c r="G142" s="16">
        <f>[1]Items!G128</f>
        <v>0</v>
      </c>
      <c r="H142" s="16">
        <f>[1]Items!H128</f>
        <v>0</v>
      </c>
      <c r="I142" s="16">
        <f>[1]Items!I128</f>
        <v>0</v>
      </c>
      <c r="J142" s="16">
        <f>[1]Items!J128</f>
        <v>0</v>
      </c>
      <c r="K142" s="16">
        <f>[1]Items!K128</f>
        <v>0</v>
      </c>
      <c r="L142" s="16">
        <f>[1]Items!L128</f>
        <v>0</v>
      </c>
      <c r="M142" s="16">
        <f>[1]Items!M128</f>
        <v>0</v>
      </c>
      <c r="N142" s="16">
        <f>[1]Items!N128</f>
        <v>0</v>
      </c>
      <c r="O142" s="16">
        <f>[1]Items!O128</f>
        <v>0</v>
      </c>
      <c r="P142" s="16">
        <f>[1]Items!P128</f>
        <v>0</v>
      </c>
      <c r="Q142" s="16">
        <f>[1]Items!Q128</f>
        <v>0</v>
      </c>
      <c r="R142" s="16">
        <f>[1]Items!R128</f>
        <v>0</v>
      </c>
      <c r="S142" s="16">
        <f>[1]Items!S128</f>
        <v>0</v>
      </c>
      <c r="W142">
        <f>IF('Dota 2'!$C$6, (Items!C142+Items!E142)*Items!$X$2, (Items!C142+Items!D142)*Items!$X$2)</f>
        <v>0</v>
      </c>
      <c r="X142">
        <f t="shared" si="6"/>
        <v>0</v>
      </c>
      <c r="Y142">
        <f t="shared" si="7"/>
        <v>0</v>
      </c>
      <c r="Z142">
        <f t="shared" si="8"/>
        <v>0</v>
      </c>
      <c r="AA142">
        <f t="shared" si="9"/>
        <v>0</v>
      </c>
      <c r="AB142">
        <f>('Dota 2'!$H$10/$Z$4) * (1-($Y$9*($AA$2+J142))/($Y$7+$Y$9*ABS($AA$2+J142)) - $Z$4)</f>
        <v>0</v>
      </c>
      <c r="AC142">
        <f>IF('Dota 2'!$C$6, K142*M142*(1-$Z$3)*'Dota 2'!$H$8, K142*L142*(1-$Z$3)*'Dota 2'!$H$8)</f>
        <v>0</v>
      </c>
      <c r="AD142">
        <f>N142*O142*'Dota 2'!$H$10</f>
        <v>0</v>
      </c>
      <c r="AE142" s="2">
        <f t="shared" si="10"/>
        <v>0</v>
      </c>
      <c r="AF142" s="17">
        <f t="shared" si="11"/>
        <v>0</v>
      </c>
    </row>
    <row r="143" spans="1:32" x14ac:dyDescent="0.25">
      <c r="A143" s="6">
        <f>[1]Items!$A129</f>
        <v>0</v>
      </c>
      <c r="B143" s="16">
        <f>[1]Items!B129</f>
        <v>0</v>
      </c>
      <c r="C143" s="16">
        <f>[1]Items!C129</f>
        <v>0</v>
      </c>
      <c r="D143" s="16">
        <f>[1]Items!D129</f>
        <v>0</v>
      </c>
      <c r="E143" s="16">
        <f>[1]Items!E129</f>
        <v>0</v>
      </c>
      <c r="F143" s="16">
        <f>[1]Items!F129</f>
        <v>0</v>
      </c>
      <c r="G143" s="16">
        <f>[1]Items!G129</f>
        <v>0</v>
      </c>
      <c r="H143" s="16">
        <f>[1]Items!H129</f>
        <v>0</v>
      </c>
      <c r="I143" s="16">
        <f>[1]Items!I129</f>
        <v>0</v>
      </c>
      <c r="J143" s="16">
        <f>[1]Items!J129</f>
        <v>0</v>
      </c>
      <c r="K143" s="16">
        <f>[1]Items!K129</f>
        <v>0</v>
      </c>
      <c r="L143" s="16">
        <f>[1]Items!L129</f>
        <v>0</v>
      </c>
      <c r="M143" s="16">
        <f>[1]Items!M129</f>
        <v>0</v>
      </c>
      <c r="N143" s="16">
        <f>[1]Items!N129</f>
        <v>0</v>
      </c>
      <c r="O143" s="16">
        <f>[1]Items!O129</f>
        <v>0</v>
      </c>
      <c r="P143" s="16">
        <f>[1]Items!P129</f>
        <v>0</v>
      </c>
      <c r="Q143" s="16">
        <f>[1]Items!Q129</f>
        <v>0</v>
      </c>
      <c r="R143" s="16">
        <f>[1]Items!R129</f>
        <v>0</v>
      </c>
      <c r="S143" s="16">
        <f>[1]Items!S129</f>
        <v>0</v>
      </c>
      <c r="W143">
        <f>IF('Dota 2'!$C$6, (Items!C143+Items!E143)*Items!$X$2, (Items!C143+Items!D143)*Items!$X$2)</f>
        <v>0</v>
      </c>
      <c r="X143">
        <f t="shared" ref="X143:X206" si="12">F143*$X$3</f>
        <v>0</v>
      </c>
      <c r="Y143">
        <f t="shared" si="7"/>
        <v>0</v>
      </c>
      <c r="Z143">
        <f t="shared" si="8"/>
        <v>0</v>
      </c>
      <c r="AA143">
        <f t="shared" si="9"/>
        <v>0</v>
      </c>
      <c r="AB143">
        <f>('Dota 2'!$H$10/$Z$4) * (1-($Y$9*($AA$2+J143))/($Y$7+$Y$9*ABS($AA$2+J143)) - $Z$4)</f>
        <v>0</v>
      </c>
      <c r="AC143">
        <f>IF('Dota 2'!$C$6, K143*M143*(1-$Z$3)*'Dota 2'!$H$8, K143*L143*(1-$Z$3)*'Dota 2'!$H$8)</f>
        <v>0</v>
      </c>
      <c r="AD143">
        <f>N143*O143*'Dota 2'!$H$10</f>
        <v>0</v>
      </c>
      <c r="AE143" s="2">
        <f t="shared" si="10"/>
        <v>0</v>
      </c>
      <c r="AF143" s="17">
        <f t="shared" si="11"/>
        <v>0</v>
      </c>
    </row>
    <row r="144" spans="1:32" x14ac:dyDescent="0.25">
      <c r="A144" s="6">
        <f>[1]Items!$A130</f>
        <v>0</v>
      </c>
      <c r="B144" s="16">
        <f>[1]Items!B130</f>
        <v>0</v>
      </c>
      <c r="C144" s="16">
        <f>[1]Items!C130</f>
        <v>0</v>
      </c>
      <c r="D144" s="16">
        <f>[1]Items!D130</f>
        <v>0</v>
      </c>
      <c r="E144" s="16">
        <f>[1]Items!E130</f>
        <v>0</v>
      </c>
      <c r="F144" s="16">
        <f>[1]Items!F130</f>
        <v>0</v>
      </c>
      <c r="G144" s="16">
        <f>[1]Items!G130</f>
        <v>0</v>
      </c>
      <c r="H144" s="16">
        <f>[1]Items!H130</f>
        <v>0</v>
      </c>
      <c r="I144" s="16">
        <f>[1]Items!I130</f>
        <v>0</v>
      </c>
      <c r="J144" s="16">
        <f>[1]Items!J130</f>
        <v>0</v>
      </c>
      <c r="K144" s="16">
        <f>[1]Items!K130</f>
        <v>0</v>
      </c>
      <c r="L144" s="16">
        <f>[1]Items!L130</f>
        <v>0</v>
      </c>
      <c r="M144" s="16">
        <f>[1]Items!M130</f>
        <v>0</v>
      </c>
      <c r="N144" s="16">
        <f>[1]Items!N130</f>
        <v>0</v>
      </c>
      <c r="O144" s="16">
        <f>[1]Items!O130</f>
        <v>0</v>
      </c>
      <c r="P144" s="16">
        <f>[1]Items!P130</f>
        <v>0</v>
      </c>
      <c r="Q144" s="16">
        <f>[1]Items!Q130</f>
        <v>0</v>
      </c>
      <c r="R144" s="16">
        <f>[1]Items!R130</f>
        <v>0</v>
      </c>
      <c r="S144" s="16">
        <f>[1]Items!S130</f>
        <v>0</v>
      </c>
      <c r="W144">
        <f>IF('Dota 2'!$C$6, (Items!C144+Items!E144)*Items!$X$2, (Items!C144+Items!D144)*Items!$X$2)</f>
        <v>0</v>
      </c>
      <c r="X144">
        <f t="shared" si="12"/>
        <v>0</v>
      </c>
      <c r="Y144">
        <f t="shared" ref="Y144:Y207" si="13">G144*$X$4</f>
        <v>0</v>
      </c>
      <c r="Z144">
        <f t="shared" ref="Z144:Z207" si="14">H144*$X$5</f>
        <v>0</v>
      </c>
      <c r="AA144">
        <f t="shared" ref="AA144:AA207" si="15">I144*$X$6</f>
        <v>0</v>
      </c>
      <c r="AB144">
        <f>('Dota 2'!$H$10/$Z$4) * (1-($Y$9*($AA$2+J144))/($Y$7+$Y$9*ABS($AA$2+J144)) - $Z$4)</f>
        <v>0</v>
      </c>
      <c r="AC144">
        <f>IF('Dota 2'!$C$6, K144*M144*(1-$Z$3)*'Dota 2'!$H$8, K144*L144*(1-$Z$3)*'Dota 2'!$H$8)</f>
        <v>0</v>
      </c>
      <c r="AD144">
        <f>N144*O144*'Dota 2'!$H$10</f>
        <v>0</v>
      </c>
      <c r="AE144" s="2">
        <f t="shared" ref="AE144:AE207" si="16">SUM(W144:AD144)</f>
        <v>0</v>
      </c>
      <c r="AF144" s="17">
        <f t="shared" ref="AF144:AF207" si="17">IFERROR(AE144/B144, 0)</f>
        <v>0</v>
      </c>
    </row>
    <row r="145" spans="1:32" x14ac:dyDescent="0.25">
      <c r="A145" s="6">
        <f>[1]Items!$A131</f>
        <v>0</v>
      </c>
      <c r="B145" s="16">
        <f>[1]Items!B131</f>
        <v>0</v>
      </c>
      <c r="C145" s="16">
        <f>[1]Items!C131</f>
        <v>0</v>
      </c>
      <c r="D145" s="16">
        <f>[1]Items!D131</f>
        <v>0</v>
      </c>
      <c r="E145" s="16">
        <f>[1]Items!E131</f>
        <v>0</v>
      </c>
      <c r="F145" s="16">
        <f>[1]Items!F131</f>
        <v>0</v>
      </c>
      <c r="G145" s="16">
        <f>[1]Items!G131</f>
        <v>0</v>
      </c>
      <c r="H145" s="16">
        <f>[1]Items!H131</f>
        <v>0</v>
      </c>
      <c r="I145" s="16">
        <f>[1]Items!I131</f>
        <v>0</v>
      </c>
      <c r="J145" s="16">
        <f>[1]Items!J131</f>
        <v>0</v>
      </c>
      <c r="K145" s="16">
        <f>[1]Items!K131</f>
        <v>0</v>
      </c>
      <c r="L145" s="16">
        <f>[1]Items!L131</f>
        <v>0</v>
      </c>
      <c r="M145" s="16">
        <f>[1]Items!M131</f>
        <v>0</v>
      </c>
      <c r="N145" s="16">
        <f>[1]Items!N131</f>
        <v>0</v>
      </c>
      <c r="O145" s="16">
        <f>[1]Items!O131</f>
        <v>0</v>
      </c>
      <c r="P145" s="16">
        <f>[1]Items!P131</f>
        <v>0</v>
      </c>
      <c r="Q145" s="16">
        <f>[1]Items!Q131</f>
        <v>0</v>
      </c>
      <c r="R145" s="16">
        <f>[1]Items!R131</f>
        <v>0</v>
      </c>
      <c r="S145" s="16">
        <f>[1]Items!S131</f>
        <v>0</v>
      </c>
      <c r="W145">
        <f>IF('Dota 2'!$C$6, (Items!C145+Items!E145)*Items!$X$2, (Items!C145+Items!D145)*Items!$X$2)</f>
        <v>0</v>
      </c>
      <c r="X145">
        <f t="shared" si="12"/>
        <v>0</v>
      </c>
      <c r="Y145">
        <f t="shared" si="13"/>
        <v>0</v>
      </c>
      <c r="Z145">
        <f t="shared" si="14"/>
        <v>0</v>
      </c>
      <c r="AA145">
        <f t="shared" si="15"/>
        <v>0</v>
      </c>
      <c r="AB145">
        <f>('Dota 2'!$H$10/$Z$4) * (1-($Y$9*($AA$2+J145))/($Y$7+$Y$9*ABS($AA$2+J145)) - $Z$4)</f>
        <v>0</v>
      </c>
      <c r="AC145">
        <f>IF('Dota 2'!$C$6, K145*M145*(1-$Z$3)*'Dota 2'!$H$8, K145*L145*(1-$Z$3)*'Dota 2'!$H$8)</f>
        <v>0</v>
      </c>
      <c r="AD145">
        <f>N145*O145*'Dota 2'!$H$10</f>
        <v>0</v>
      </c>
      <c r="AE145" s="2">
        <f t="shared" si="16"/>
        <v>0</v>
      </c>
      <c r="AF145" s="17">
        <f t="shared" si="17"/>
        <v>0</v>
      </c>
    </row>
    <row r="146" spans="1:32" x14ac:dyDescent="0.25">
      <c r="A146" s="6">
        <f>[1]Items!$A132</f>
        <v>0</v>
      </c>
      <c r="B146" s="16">
        <f>[1]Items!B132</f>
        <v>0</v>
      </c>
      <c r="C146" s="16">
        <f>[1]Items!C132</f>
        <v>0</v>
      </c>
      <c r="D146" s="16">
        <f>[1]Items!D132</f>
        <v>0</v>
      </c>
      <c r="E146" s="16">
        <f>[1]Items!E132</f>
        <v>0</v>
      </c>
      <c r="F146" s="16">
        <f>[1]Items!F132</f>
        <v>0</v>
      </c>
      <c r="G146" s="16">
        <f>[1]Items!G132</f>
        <v>0</v>
      </c>
      <c r="H146" s="16">
        <f>[1]Items!H132</f>
        <v>0</v>
      </c>
      <c r="I146" s="16">
        <f>[1]Items!I132</f>
        <v>0</v>
      </c>
      <c r="J146" s="16">
        <f>[1]Items!J132</f>
        <v>0</v>
      </c>
      <c r="K146" s="16">
        <f>[1]Items!K132</f>
        <v>0</v>
      </c>
      <c r="L146" s="16">
        <f>[1]Items!L132</f>
        <v>0</v>
      </c>
      <c r="M146" s="16">
        <f>[1]Items!M132</f>
        <v>0</v>
      </c>
      <c r="N146" s="16">
        <f>[1]Items!N132</f>
        <v>0</v>
      </c>
      <c r="O146" s="16">
        <f>[1]Items!O132</f>
        <v>0</v>
      </c>
      <c r="P146" s="16">
        <f>[1]Items!P132</f>
        <v>0</v>
      </c>
      <c r="Q146" s="16">
        <f>[1]Items!Q132</f>
        <v>0</v>
      </c>
      <c r="R146" s="16">
        <f>[1]Items!R132</f>
        <v>0</v>
      </c>
      <c r="S146" s="16">
        <f>[1]Items!S132</f>
        <v>0</v>
      </c>
      <c r="W146">
        <f>IF('Dota 2'!$C$6, (Items!C146+Items!E146)*Items!$X$2, (Items!C146+Items!D146)*Items!$X$2)</f>
        <v>0</v>
      </c>
      <c r="X146">
        <f t="shared" si="12"/>
        <v>0</v>
      </c>
      <c r="Y146">
        <f t="shared" si="13"/>
        <v>0</v>
      </c>
      <c r="Z146">
        <f t="shared" si="14"/>
        <v>0</v>
      </c>
      <c r="AA146">
        <f t="shared" si="15"/>
        <v>0</v>
      </c>
      <c r="AB146">
        <f>('Dota 2'!$H$10/$Z$4) * (1-($Y$9*($AA$2+J146))/($Y$7+$Y$9*ABS($AA$2+J146)) - $Z$4)</f>
        <v>0</v>
      </c>
      <c r="AC146">
        <f>IF('Dota 2'!$C$6, K146*M146*(1-$Z$3)*'Dota 2'!$H$8, K146*L146*(1-$Z$3)*'Dota 2'!$H$8)</f>
        <v>0</v>
      </c>
      <c r="AD146">
        <f>N146*O146*'Dota 2'!$H$10</f>
        <v>0</v>
      </c>
      <c r="AE146" s="2">
        <f t="shared" si="16"/>
        <v>0</v>
      </c>
      <c r="AF146" s="17">
        <f t="shared" si="17"/>
        <v>0</v>
      </c>
    </row>
    <row r="147" spans="1:32" x14ac:dyDescent="0.25">
      <c r="A147" s="6">
        <f>[1]Items!$A133</f>
        <v>0</v>
      </c>
      <c r="B147" s="16">
        <f>[1]Items!B133</f>
        <v>0</v>
      </c>
      <c r="C147" s="16">
        <f>[1]Items!C133</f>
        <v>0</v>
      </c>
      <c r="D147" s="16">
        <f>[1]Items!D133</f>
        <v>0</v>
      </c>
      <c r="E147" s="16">
        <f>[1]Items!E133</f>
        <v>0</v>
      </c>
      <c r="F147" s="16">
        <f>[1]Items!F133</f>
        <v>0</v>
      </c>
      <c r="G147" s="16">
        <f>[1]Items!G133</f>
        <v>0</v>
      </c>
      <c r="H147" s="16">
        <f>[1]Items!H133</f>
        <v>0</v>
      </c>
      <c r="I147" s="16">
        <f>[1]Items!I133</f>
        <v>0</v>
      </c>
      <c r="J147" s="16">
        <f>[1]Items!J133</f>
        <v>0</v>
      </c>
      <c r="K147" s="16">
        <f>[1]Items!K133</f>
        <v>0</v>
      </c>
      <c r="L147" s="16">
        <f>[1]Items!L133</f>
        <v>0</v>
      </c>
      <c r="M147" s="16">
        <f>[1]Items!M133</f>
        <v>0</v>
      </c>
      <c r="N147" s="16">
        <f>[1]Items!N133</f>
        <v>0</v>
      </c>
      <c r="O147" s="16">
        <f>[1]Items!O133</f>
        <v>0</v>
      </c>
      <c r="P147" s="16">
        <f>[1]Items!P133</f>
        <v>0</v>
      </c>
      <c r="Q147" s="16">
        <f>[1]Items!Q133</f>
        <v>0</v>
      </c>
      <c r="R147" s="16">
        <f>[1]Items!R133</f>
        <v>0</v>
      </c>
      <c r="S147" s="16">
        <f>[1]Items!S133</f>
        <v>0</v>
      </c>
      <c r="W147">
        <f>IF('Dota 2'!$C$6, (Items!C147+Items!E147)*Items!$X$2, (Items!C147+Items!D147)*Items!$X$2)</f>
        <v>0</v>
      </c>
      <c r="X147">
        <f t="shared" si="12"/>
        <v>0</v>
      </c>
      <c r="Y147">
        <f t="shared" si="13"/>
        <v>0</v>
      </c>
      <c r="Z147">
        <f t="shared" si="14"/>
        <v>0</v>
      </c>
      <c r="AA147">
        <f t="shared" si="15"/>
        <v>0</v>
      </c>
      <c r="AB147">
        <f>('Dota 2'!$H$10/$Z$4) * (1-($Y$9*($AA$2+J147))/($Y$7+$Y$9*ABS($AA$2+J147)) - $Z$4)</f>
        <v>0</v>
      </c>
      <c r="AC147">
        <f>IF('Dota 2'!$C$6, K147*M147*(1-$Z$3)*'Dota 2'!$H$8, K147*L147*(1-$Z$3)*'Dota 2'!$H$8)</f>
        <v>0</v>
      </c>
      <c r="AD147">
        <f>N147*O147*'Dota 2'!$H$10</f>
        <v>0</v>
      </c>
      <c r="AE147" s="2">
        <f t="shared" si="16"/>
        <v>0</v>
      </c>
      <c r="AF147" s="17">
        <f t="shared" si="17"/>
        <v>0</v>
      </c>
    </row>
    <row r="148" spans="1:32" x14ac:dyDescent="0.25">
      <c r="A148" s="6">
        <f>[1]Items!$A134</f>
        <v>0</v>
      </c>
      <c r="B148" s="16">
        <f>[1]Items!B134</f>
        <v>0</v>
      </c>
      <c r="C148" s="16">
        <f>[1]Items!C134</f>
        <v>0</v>
      </c>
      <c r="D148" s="16">
        <f>[1]Items!D134</f>
        <v>0</v>
      </c>
      <c r="E148" s="16">
        <f>[1]Items!E134</f>
        <v>0</v>
      </c>
      <c r="F148" s="16">
        <f>[1]Items!F134</f>
        <v>0</v>
      </c>
      <c r="G148" s="16">
        <f>[1]Items!G134</f>
        <v>0</v>
      </c>
      <c r="H148" s="16">
        <f>[1]Items!H134</f>
        <v>0</v>
      </c>
      <c r="I148" s="16">
        <f>[1]Items!I134</f>
        <v>0</v>
      </c>
      <c r="J148" s="16">
        <f>[1]Items!J134</f>
        <v>0</v>
      </c>
      <c r="K148" s="16">
        <f>[1]Items!K134</f>
        <v>0</v>
      </c>
      <c r="L148" s="16">
        <f>[1]Items!L134</f>
        <v>0</v>
      </c>
      <c r="M148" s="16">
        <f>[1]Items!M134</f>
        <v>0</v>
      </c>
      <c r="N148" s="16">
        <f>[1]Items!N134</f>
        <v>0</v>
      </c>
      <c r="O148" s="16">
        <f>[1]Items!O134</f>
        <v>0</v>
      </c>
      <c r="P148" s="16">
        <f>[1]Items!P134</f>
        <v>0</v>
      </c>
      <c r="Q148" s="16">
        <f>[1]Items!Q134</f>
        <v>0</v>
      </c>
      <c r="R148" s="16">
        <f>[1]Items!R134</f>
        <v>0</v>
      </c>
      <c r="S148" s="16">
        <f>[1]Items!S134</f>
        <v>0</v>
      </c>
      <c r="W148">
        <f>IF('Dota 2'!$C$6, (Items!C148+Items!E148)*Items!$X$2, (Items!C148+Items!D148)*Items!$X$2)</f>
        <v>0</v>
      </c>
      <c r="X148">
        <f t="shared" si="12"/>
        <v>0</v>
      </c>
      <c r="Y148">
        <f t="shared" si="13"/>
        <v>0</v>
      </c>
      <c r="Z148">
        <f t="shared" si="14"/>
        <v>0</v>
      </c>
      <c r="AA148">
        <f t="shared" si="15"/>
        <v>0</v>
      </c>
      <c r="AB148">
        <f>('Dota 2'!$H$10/$Z$4) * (1-($Y$9*($AA$2+J148))/($Y$7+$Y$9*ABS($AA$2+J148)) - $Z$4)</f>
        <v>0</v>
      </c>
      <c r="AC148">
        <f>IF('Dota 2'!$C$6, K148*M148*(1-$Z$3)*'Dota 2'!$H$8, K148*L148*(1-$Z$3)*'Dota 2'!$H$8)</f>
        <v>0</v>
      </c>
      <c r="AD148">
        <f>N148*O148*'Dota 2'!$H$10</f>
        <v>0</v>
      </c>
      <c r="AE148" s="2">
        <f t="shared" si="16"/>
        <v>0</v>
      </c>
      <c r="AF148" s="17">
        <f t="shared" si="17"/>
        <v>0</v>
      </c>
    </row>
    <row r="149" spans="1:32" x14ac:dyDescent="0.25">
      <c r="A149" s="6">
        <f>[1]Items!$A135</f>
        <v>0</v>
      </c>
      <c r="B149" s="16">
        <f>[1]Items!B135</f>
        <v>0</v>
      </c>
      <c r="C149" s="16">
        <f>[1]Items!C135</f>
        <v>0</v>
      </c>
      <c r="D149" s="16">
        <f>[1]Items!D135</f>
        <v>0</v>
      </c>
      <c r="E149" s="16">
        <f>[1]Items!E135</f>
        <v>0</v>
      </c>
      <c r="F149" s="16">
        <f>[1]Items!F135</f>
        <v>0</v>
      </c>
      <c r="G149" s="16">
        <f>[1]Items!G135</f>
        <v>0</v>
      </c>
      <c r="H149" s="16">
        <f>[1]Items!H135</f>
        <v>0</v>
      </c>
      <c r="I149" s="16">
        <f>[1]Items!I135</f>
        <v>0</v>
      </c>
      <c r="J149" s="16">
        <f>[1]Items!J135</f>
        <v>0</v>
      </c>
      <c r="K149" s="16">
        <f>[1]Items!K135</f>
        <v>0</v>
      </c>
      <c r="L149" s="16">
        <f>[1]Items!L135</f>
        <v>0</v>
      </c>
      <c r="M149" s="16">
        <f>[1]Items!M135</f>
        <v>0</v>
      </c>
      <c r="N149" s="16">
        <f>[1]Items!N135</f>
        <v>0</v>
      </c>
      <c r="O149" s="16">
        <f>[1]Items!O135</f>
        <v>0</v>
      </c>
      <c r="P149" s="16">
        <f>[1]Items!P135</f>
        <v>0</v>
      </c>
      <c r="Q149" s="16">
        <f>[1]Items!Q135</f>
        <v>0</v>
      </c>
      <c r="R149" s="16">
        <f>[1]Items!R135</f>
        <v>0</v>
      </c>
      <c r="S149" s="16">
        <f>[1]Items!S135</f>
        <v>0</v>
      </c>
      <c r="W149">
        <f>IF('Dota 2'!$C$6, (Items!C149+Items!E149)*Items!$X$2, (Items!C149+Items!D149)*Items!$X$2)</f>
        <v>0</v>
      </c>
      <c r="X149">
        <f t="shared" si="12"/>
        <v>0</v>
      </c>
      <c r="Y149">
        <f t="shared" si="13"/>
        <v>0</v>
      </c>
      <c r="Z149">
        <f t="shared" si="14"/>
        <v>0</v>
      </c>
      <c r="AA149">
        <f t="shared" si="15"/>
        <v>0</v>
      </c>
      <c r="AB149">
        <f>('Dota 2'!$H$10/$Z$4) * (1-($Y$9*($AA$2+J149))/($Y$7+$Y$9*ABS($AA$2+J149)) - $Z$4)</f>
        <v>0</v>
      </c>
      <c r="AC149">
        <f>IF('Dota 2'!$C$6, K149*M149*(1-$Z$3)*'Dota 2'!$H$8, K149*L149*(1-$Z$3)*'Dota 2'!$H$8)</f>
        <v>0</v>
      </c>
      <c r="AD149">
        <f>N149*O149*'Dota 2'!$H$10</f>
        <v>0</v>
      </c>
      <c r="AE149" s="2">
        <f t="shared" si="16"/>
        <v>0</v>
      </c>
      <c r="AF149" s="17">
        <f t="shared" si="17"/>
        <v>0</v>
      </c>
    </row>
    <row r="150" spans="1:32" x14ac:dyDescent="0.25">
      <c r="A150" s="6">
        <f>[1]Items!$A136</f>
        <v>0</v>
      </c>
      <c r="B150" s="16">
        <f>[1]Items!B136</f>
        <v>0</v>
      </c>
      <c r="C150" s="16">
        <f>[1]Items!C136</f>
        <v>0</v>
      </c>
      <c r="D150" s="16">
        <f>[1]Items!D136</f>
        <v>0</v>
      </c>
      <c r="E150" s="16">
        <f>[1]Items!E136</f>
        <v>0</v>
      </c>
      <c r="F150" s="16">
        <f>[1]Items!F136</f>
        <v>0</v>
      </c>
      <c r="G150" s="16">
        <f>[1]Items!G136</f>
        <v>0</v>
      </c>
      <c r="H150" s="16">
        <f>[1]Items!H136</f>
        <v>0</v>
      </c>
      <c r="I150" s="16">
        <f>[1]Items!I136</f>
        <v>0</v>
      </c>
      <c r="J150" s="16">
        <f>[1]Items!J136</f>
        <v>0</v>
      </c>
      <c r="K150" s="16">
        <f>[1]Items!K136</f>
        <v>0</v>
      </c>
      <c r="L150" s="16">
        <f>[1]Items!L136</f>
        <v>0</v>
      </c>
      <c r="M150" s="16">
        <f>[1]Items!M136</f>
        <v>0</v>
      </c>
      <c r="N150" s="16">
        <f>[1]Items!N136</f>
        <v>0</v>
      </c>
      <c r="O150" s="16">
        <f>[1]Items!O136</f>
        <v>0</v>
      </c>
      <c r="P150" s="16">
        <f>[1]Items!P136</f>
        <v>0</v>
      </c>
      <c r="Q150" s="16">
        <f>[1]Items!Q136</f>
        <v>0</v>
      </c>
      <c r="R150" s="16">
        <f>[1]Items!R136</f>
        <v>0</v>
      </c>
      <c r="S150" s="16">
        <f>[1]Items!S136</f>
        <v>0</v>
      </c>
      <c r="W150">
        <f>IF('Dota 2'!$C$6, (Items!C150+Items!E150)*Items!$X$2, (Items!C150+Items!D150)*Items!$X$2)</f>
        <v>0</v>
      </c>
      <c r="X150">
        <f t="shared" si="12"/>
        <v>0</v>
      </c>
      <c r="Y150">
        <f t="shared" si="13"/>
        <v>0</v>
      </c>
      <c r="Z150">
        <f t="shared" si="14"/>
        <v>0</v>
      </c>
      <c r="AA150">
        <f t="shared" si="15"/>
        <v>0</v>
      </c>
      <c r="AB150">
        <f>('Dota 2'!$H$10/$Z$4) * (1-($Y$9*($AA$2+J150))/($Y$7+$Y$9*ABS($AA$2+J150)) - $Z$4)</f>
        <v>0</v>
      </c>
      <c r="AC150">
        <f>IF('Dota 2'!$C$6, K150*M150*(1-$Z$3)*'Dota 2'!$H$8, K150*L150*(1-$Z$3)*'Dota 2'!$H$8)</f>
        <v>0</v>
      </c>
      <c r="AD150">
        <f>N150*O150*'Dota 2'!$H$10</f>
        <v>0</v>
      </c>
      <c r="AE150" s="2">
        <f t="shared" si="16"/>
        <v>0</v>
      </c>
      <c r="AF150" s="17">
        <f t="shared" si="17"/>
        <v>0</v>
      </c>
    </row>
    <row r="151" spans="1:32" x14ac:dyDescent="0.25">
      <c r="A151" s="6">
        <f>[1]Items!$A137</f>
        <v>0</v>
      </c>
      <c r="B151" s="16">
        <f>[1]Items!B137</f>
        <v>0</v>
      </c>
      <c r="C151" s="16">
        <f>[1]Items!C137</f>
        <v>0</v>
      </c>
      <c r="D151" s="16">
        <f>[1]Items!D137</f>
        <v>0</v>
      </c>
      <c r="E151" s="16">
        <f>[1]Items!E137</f>
        <v>0</v>
      </c>
      <c r="F151" s="16">
        <f>[1]Items!F137</f>
        <v>0</v>
      </c>
      <c r="G151" s="16">
        <f>[1]Items!G137</f>
        <v>0</v>
      </c>
      <c r="H151" s="16">
        <f>[1]Items!H137</f>
        <v>0</v>
      </c>
      <c r="I151" s="16">
        <f>[1]Items!I137</f>
        <v>0</v>
      </c>
      <c r="J151" s="16">
        <f>[1]Items!J137</f>
        <v>0</v>
      </c>
      <c r="K151" s="16">
        <f>[1]Items!K137</f>
        <v>0</v>
      </c>
      <c r="L151" s="16">
        <f>[1]Items!L137</f>
        <v>0</v>
      </c>
      <c r="M151" s="16">
        <f>[1]Items!M137</f>
        <v>0</v>
      </c>
      <c r="N151" s="16">
        <f>[1]Items!N137</f>
        <v>0</v>
      </c>
      <c r="O151" s="16">
        <f>[1]Items!O137</f>
        <v>0</v>
      </c>
      <c r="P151" s="16">
        <f>[1]Items!P137</f>
        <v>0</v>
      </c>
      <c r="Q151" s="16">
        <f>[1]Items!Q137</f>
        <v>0</v>
      </c>
      <c r="R151" s="16">
        <f>[1]Items!R137</f>
        <v>0</v>
      </c>
      <c r="S151" s="16">
        <f>[1]Items!S137</f>
        <v>0</v>
      </c>
      <c r="W151">
        <f>IF('Dota 2'!$C$6, (Items!C151+Items!E151)*Items!$X$2, (Items!C151+Items!D151)*Items!$X$2)</f>
        <v>0</v>
      </c>
      <c r="X151">
        <f t="shared" si="12"/>
        <v>0</v>
      </c>
      <c r="Y151">
        <f t="shared" si="13"/>
        <v>0</v>
      </c>
      <c r="Z151">
        <f t="shared" si="14"/>
        <v>0</v>
      </c>
      <c r="AA151">
        <f t="shared" si="15"/>
        <v>0</v>
      </c>
      <c r="AB151">
        <f>('Dota 2'!$H$10/$Z$4) * (1-($Y$9*($AA$2+J151))/($Y$7+$Y$9*ABS($AA$2+J151)) - $Z$4)</f>
        <v>0</v>
      </c>
      <c r="AC151">
        <f>IF('Dota 2'!$C$6, K151*M151*(1-$Z$3)*'Dota 2'!$H$8, K151*L151*(1-$Z$3)*'Dota 2'!$H$8)</f>
        <v>0</v>
      </c>
      <c r="AD151">
        <f>N151*O151*'Dota 2'!$H$10</f>
        <v>0</v>
      </c>
      <c r="AE151" s="2">
        <f t="shared" si="16"/>
        <v>0</v>
      </c>
      <c r="AF151" s="17">
        <f t="shared" si="17"/>
        <v>0</v>
      </c>
    </row>
    <row r="152" spans="1:32" x14ac:dyDescent="0.25">
      <c r="A152" s="6">
        <f>[1]Items!$A138</f>
        <v>0</v>
      </c>
      <c r="B152" s="16">
        <f>[1]Items!B138</f>
        <v>0</v>
      </c>
      <c r="C152" s="16">
        <f>[1]Items!C138</f>
        <v>0</v>
      </c>
      <c r="D152" s="16">
        <f>[1]Items!D138</f>
        <v>0</v>
      </c>
      <c r="E152" s="16">
        <f>[1]Items!E138</f>
        <v>0</v>
      </c>
      <c r="F152" s="16">
        <f>[1]Items!F138</f>
        <v>0</v>
      </c>
      <c r="G152" s="16">
        <f>[1]Items!G138</f>
        <v>0</v>
      </c>
      <c r="H152" s="16">
        <f>[1]Items!H138</f>
        <v>0</v>
      </c>
      <c r="I152" s="16">
        <f>[1]Items!I138</f>
        <v>0</v>
      </c>
      <c r="J152" s="16">
        <f>[1]Items!J138</f>
        <v>0</v>
      </c>
      <c r="K152" s="16">
        <f>[1]Items!K138</f>
        <v>0</v>
      </c>
      <c r="L152" s="16">
        <f>[1]Items!L138</f>
        <v>0</v>
      </c>
      <c r="M152" s="16">
        <f>[1]Items!M138</f>
        <v>0</v>
      </c>
      <c r="N152" s="16">
        <f>[1]Items!N138</f>
        <v>0</v>
      </c>
      <c r="O152" s="16">
        <f>[1]Items!O138</f>
        <v>0</v>
      </c>
      <c r="P152" s="16">
        <f>[1]Items!P138</f>
        <v>0</v>
      </c>
      <c r="Q152" s="16">
        <f>[1]Items!Q138</f>
        <v>0</v>
      </c>
      <c r="R152" s="16">
        <f>[1]Items!R138</f>
        <v>0</v>
      </c>
      <c r="S152" s="16">
        <f>[1]Items!S138</f>
        <v>0</v>
      </c>
      <c r="W152">
        <f>IF('Dota 2'!$C$6, (Items!C152+Items!E152)*Items!$X$2, (Items!C152+Items!D152)*Items!$X$2)</f>
        <v>0</v>
      </c>
      <c r="X152">
        <f t="shared" si="12"/>
        <v>0</v>
      </c>
      <c r="Y152">
        <f t="shared" si="13"/>
        <v>0</v>
      </c>
      <c r="Z152">
        <f t="shared" si="14"/>
        <v>0</v>
      </c>
      <c r="AA152">
        <f t="shared" si="15"/>
        <v>0</v>
      </c>
      <c r="AB152">
        <f>('Dota 2'!$H$10/$Z$4) * (1-($Y$9*($AA$2+J152))/($Y$7+$Y$9*ABS($AA$2+J152)) - $Z$4)</f>
        <v>0</v>
      </c>
      <c r="AC152">
        <f>IF('Dota 2'!$C$6, K152*M152*(1-$Z$3)*'Dota 2'!$H$8, K152*L152*(1-$Z$3)*'Dota 2'!$H$8)</f>
        <v>0</v>
      </c>
      <c r="AD152">
        <f>N152*O152*'Dota 2'!$H$10</f>
        <v>0</v>
      </c>
      <c r="AE152" s="2">
        <f t="shared" si="16"/>
        <v>0</v>
      </c>
      <c r="AF152" s="17">
        <f t="shared" si="17"/>
        <v>0</v>
      </c>
    </row>
    <row r="153" spans="1:32" x14ac:dyDescent="0.25">
      <c r="A153" s="6">
        <f>[1]Items!$A139</f>
        <v>0</v>
      </c>
      <c r="B153" s="16">
        <f>[1]Items!B139</f>
        <v>0</v>
      </c>
      <c r="C153" s="16">
        <f>[1]Items!C139</f>
        <v>0</v>
      </c>
      <c r="D153" s="16">
        <f>[1]Items!D139</f>
        <v>0</v>
      </c>
      <c r="E153" s="16">
        <f>[1]Items!E139</f>
        <v>0</v>
      </c>
      <c r="F153" s="16">
        <f>[1]Items!F139</f>
        <v>0</v>
      </c>
      <c r="G153" s="16">
        <f>[1]Items!G139</f>
        <v>0</v>
      </c>
      <c r="H153" s="16">
        <f>[1]Items!H139</f>
        <v>0</v>
      </c>
      <c r="I153" s="16">
        <f>[1]Items!I139</f>
        <v>0</v>
      </c>
      <c r="J153" s="16">
        <f>[1]Items!J139</f>
        <v>0</v>
      </c>
      <c r="K153" s="16">
        <f>[1]Items!K139</f>
        <v>0</v>
      </c>
      <c r="L153" s="16">
        <f>[1]Items!L139</f>
        <v>0</v>
      </c>
      <c r="M153" s="16">
        <f>[1]Items!M139</f>
        <v>0</v>
      </c>
      <c r="N153" s="16">
        <f>[1]Items!N139</f>
        <v>0</v>
      </c>
      <c r="O153" s="16">
        <f>[1]Items!O139</f>
        <v>0</v>
      </c>
      <c r="P153" s="16">
        <f>[1]Items!P139</f>
        <v>0</v>
      </c>
      <c r="Q153" s="16">
        <f>[1]Items!Q139</f>
        <v>0</v>
      </c>
      <c r="R153" s="16">
        <f>[1]Items!R139</f>
        <v>0</v>
      </c>
      <c r="S153" s="16">
        <f>[1]Items!S139</f>
        <v>0</v>
      </c>
      <c r="W153">
        <f>IF('Dota 2'!$C$6, (Items!C153+Items!E153)*Items!$X$2, (Items!C153+Items!D153)*Items!$X$2)</f>
        <v>0</v>
      </c>
      <c r="X153">
        <f t="shared" si="12"/>
        <v>0</v>
      </c>
      <c r="Y153">
        <f t="shared" si="13"/>
        <v>0</v>
      </c>
      <c r="Z153">
        <f t="shared" si="14"/>
        <v>0</v>
      </c>
      <c r="AA153">
        <f t="shared" si="15"/>
        <v>0</v>
      </c>
      <c r="AB153">
        <f>('Dota 2'!$H$10/$Z$4) * (1-($Y$9*($AA$2+J153))/($Y$7+$Y$9*ABS($AA$2+J153)) - $Z$4)</f>
        <v>0</v>
      </c>
      <c r="AC153">
        <f>IF('Dota 2'!$C$6, K153*M153*(1-$Z$3)*'Dota 2'!$H$8, K153*L153*(1-$Z$3)*'Dota 2'!$H$8)</f>
        <v>0</v>
      </c>
      <c r="AD153">
        <f>N153*O153*'Dota 2'!$H$10</f>
        <v>0</v>
      </c>
      <c r="AE153" s="2">
        <f t="shared" si="16"/>
        <v>0</v>
      </c>
      <c r="AF153" s="17">
        <f t="shared" si="17"/>
        <v>0</v>
      </c>
    </row>
    <row r="154" spans="1:32" x14ac:dyDescent="0.25">
      <c r="A154" s="6">
        <f>[1]Items!$A140</f>
        <v>0</v>
      </c>
      <c r="B154" s="16">
        <f>[1]Items!B140</f>
        <v>0</v>
      </c>
      <c r="C154" s="16">
        <f>[1]Items!C140</f>
        <v>0</v>
      </c>
      <c r="D154" s="16">
        <f>[1]Items!D140</f>
        <v>0</v>
      </c>
      <c r="E154" s="16">
        <f>[1]Items!E140</f>
        <v>0</v>
      </c>
      <c r="F154" s="16">
        <f>[1]Items!F140</f>
        <v>0</v>
      </c>
      <c r="G154" s="16">
        <f>[1]Items!G140</f>
        <v>0</v>
      </c>
      <c r="H154" s="16">
        <f>[1]Items!H140</f>
        <v>0</v>
      </c>
      <c r="I154" s="16">
        <f>[1]Items!I140</f>
        <v>0</v>
      </c>
      <c r="J154" s="16">
        <f>[1]Items!J140</f>
        <v>0</v>
      </c>
      <c r="K154" s="16">
        <f>[1]Items!K140</f>
        <v>0</v>
      </c>
      <c r="L154" s="16">
        <f>[1]Items!L140</f>
        <v>0</v>
      </c>
      <c r="M154" s="16">
        <f>[1]Items!M140</f>
        <v>0</v>
      </c>
      <c r="N154" s="16">
        <f>[1]Items!N140</f>
        <v>0</v>
      </c>
      <c r="O154" s="16">
        <f>[1]Items!O140</f>
        <v>0</v>
      </c>
      <c r="P154" s="16">
        <f>[1]Items!P140</f>
        <v>0</v>
      </c>
      <c r="Q154" s="16">
        <f>[1]Items!Q140</f>
        <v>0</v>
      </c>
      <c r="R154" s="16">
        <f>[1]Items!R140</f>
        <v>0</v>
      </c>
      <c r="S154" s="16">
        <f>[1]Items!S140</f>
        <v>0</v>
      </c>
      <c r="W154">
        <f>IF('Dota 2'!$C$6, (Items!C154+Items!E154)*Items!$X$2, (Items!C154+Items!D154)*Items!$X$2)</f>
        <v>0</v>
      </c>
      <c r="X154">
        <f t="shared" si="12"/>
        <v>0</v>
      </c>
      <c r="Y154">
        <f t="shared" si="13"/>
        <v>0</v>
      </c>
      <c r="Z154">
        <f t="shared" si="14"/>
        <v>0</v>
      </c>
      <c r="AA154">
        <f t="shared" si="15"/>
        <v>0</v>
      </c>
      <c r="AB154">
        <f>('Dota 2'!$H$10/$Z$4) * (1-($Y$9*($AA$2+J154))/($Y$7+$Y$9*ABS($AA$2+J154)) - $Z$4)</f>
        <v>0</v>
      </c>
      <c r="AC154">
        <f>IF('Dota 2'!$C$6, K154*M154*(1-$Z$3)*'Dota 2'!$H$8, K154*L154*(1-$Z$3)*'Dota 2'!$H$8)</f>
        <v>0</v>
      </c>
      <c r="AD154">
        <f>N154*O154*'Dota 2'!$H$10</f>
        <v>0</v>
      </c>
      <c r="AE154" s="2">
        <f t="shared" si="16"/>
        <v>0</v>
      </c>
      <c r="AF154" s="17">
        <f t="shared" si="17"/>
        <v>0</v>
      </c>
    </row>
    <row r="155" spans="1:32" x14ac:dyDescent="0.25">
      <c r="A155" s="6">
        <f>[1]Items!$A141</f>
        <v>0</v>
      </c>
      <c r="B155" s="16">
        <f>[1]Items!B141</f>
        <v>0</v>
      </c>
      <c r="C155" s="16">
        <f>[1]Items!C141</f>
        <v>0</v>
      </c>
      <c r="D155" s="16">
        <f>[1]Items!D141</f>
        <v>0</v>
      </c>
      <c r="E155" s="16">
        <f>[1]Items!E141</f>
        <v>0</v>
      </c>
      <c r="F155" s="16">
        <f>[1]Items!F141</f>
        <v>0</v>
      </c>
      <c r="G155" s="16">
        <f>[1]Items!G141</f>
        <v>0</v>
      </c>
      <c r="H155" s="16">
        <f>[1]Items!H141</f>
        <v>0</v>
      </c>
      <c r="I155" s="16">
        <f>[1]Items!I141</f>
        <v>0</v>
      </c>
      <c r="J155" s="16">
        <f>[1]Items!J141</f>
        <v>0</v>
      </c>
      <c r="K155" s="16">
        <f>[1]Items!K141</f>
        <v>0</v>
      </c>
      <c r="L155" s="16">
        <f>[1]Items!L141</f>
        <v>0</v>
      </c>
      <c r="M155" s="16">
        <f>[1]Items!M141</f>
        <v>0</v>
      </c>
      <c r="N155" s="16">
        <f>[1]Items!N141</f>
        <v>0</v>
      </c>
      <c r="O155" s="16">
        <f>[1]Items!O141</f>
        <v>0</v>
      </c>
      <c r="P155" s="16">
        <f>[1]Items!P141</f>
        <v>0</v>
      </c>
      <c r="Q155" s="16">
        <f>[1]Items!Q141</f>
        <v>0</v>
      </c>
      <c r="R155" s="16">
        <f>[1]Items!R141</f>
        <v>0</v>
      </c>
      <c r="S155" s="16">
        <f>[1]Items!S141</f>
        <v>0</v>
      </c>
      <c r="W155">
        <f>IF('Dota 2'!$C$6, (Items!C155+Items!E155)*Items!$X$2, (Items!C155+Items!D155)*Items!$X$2)</f>
        <v>0</v>
      </c>
      <c r="X155">
        <f t="shared" si="12"/>
        <v>0</v>
      </c>
      <c r="Y155">
        <f t="shared" si="13"/>
        <v>0</v>
      </c>
      <c r="Z155">
        <f t="shared" si="14"/>
        <v>0</v>
      </c>
      <c r="AA155">
        <f t="shared" si="15"/>
        <v>0</v>
      </c>
      <c r="AB155">
        <f>('Dota 2'!$H$10/$Z$4) * (1-($Y$9*($AA$2+J155))/($Y$7+$Y$9*ABS($AA$2+J155)) - $Z$4)</f>
        <v>0</v>
      </c>
      <c r="AC155">
        <f>IF('Dota 2'!$C$6, K155*M155*(1-$Z$3)*'Dota 2'!$H$8, K155*L155*(1-$Z$3)*'Dota 2'!$H$8)</f>
        <v>0</v>
      </c>
      <c r="AD155">
        <f>N155*O155*'Dota 2'!$H$10</f>
        <v>0</v>
      </c>
      <c r="AE155" s="2">
        <f t="shared" si="16"/>
        <v>0</v>
      </c>
      <c r="AF155" s="17">
        <f t="shared" si="17"/>
        <v>0</v>
      </c>
    </row>
    <row r="156" spans="1:32" x14ac:dyDescent="0.25">
      <c r="A156" s="6">
        <f>[1]Items!$A142</f>
        <v>0</v>
      </c>
      <c r="B156" s="16">
        <f>[1]Items!B142</f>
        <v>0</v>
      </c>
      <c r="C156" s="16">
        <f>[1]Items!C142</f>
        <v>0</v>
      </c>
      <c r="D156" s="16">
        <f>[1]Items!D142</f>
        <v>0</v>
      </c>
      <c r="E156" s="16">
        <f>[1]Items!E142</f>
        <v>0</v>
      </c>
      <c r="F156" s="16">
        <f>[1]Items!F142</f>
        <v>0</v>
      </c>
      <c r="G156" s="16">
        <f>[1]Items!G142</f>
        <v>0</v>
      </c>
      <c r="H156" s="16">
        <f>[1]Items!H142</f>
        <v>0</v>
      </c>
      <c r="I156" s="16">
        <f>[1]Items!I142</f>
        <v>0</v>
      </c>
      <c r="J156" s="16">
        <f>[1]Items!J142</f>
        <v>0</v>
      </c>
      <c r="K156" s="16">
        <f>[1]Items!K142</f>
        <v>0</v>
      </c>
      <c r="L156" s="16">
        <f>[1]Items!L142</f>
        <v>0</v>
      </c>
      <c r="M156" s="16">
        <f>[1]Items!M142</f>
        <v>0</v>
      </c>
      <c r="N156" s="16">
        <f>[1]Items!N142</f>
        <v>0</v>
      </c>
      <c r="O156" s="16">
        <f>[1]Items!O142</f>
        <v>0</v>
      </c>
      <c r="P156" s="16">
        <f>[1]Items!P142</f>
        <v>0</v>
      </c>
      <c r="Q156" s="16">
        <f>[1]Items!Q142</f>
        <v>0</v>
      </c>
      <c r="R156" s="16">
        <f>[1]Items!R142</f>
        <v>0</v>
      </c>
      <c r="S156" s="16">
        <f>[1]Items!S142</f>
        <v>0</v>
      </c>
      <c r="W156">
        <f>IF('Dota 2'!$C$6, (Items!C156+Items!E156)*Items!$X$2, (Items!C156+Items!D156)*Items!$X$2)</f>
        <v>0</v>
      </c>
      <c r="X156">
        <f t="shared" si="12"/>
        <v>0</v>
      </c>
      <c r="Y156">
        <f t="shared" si="13"/>
        <v>0</v>
      </c>
      <c r="Z156">
        <f t="shared" si="14"/>
        <v>0</v>
      </c>
      <c r="AA156">
        <f t="shared" si="15"/>
        <v>0</v>
      </c>
      <c r="AB156">
        <f>('Dota 2'!$H$10/$Z$4) * (1-($Y$9*($AA$2+J156))/($Y$7+$Y$9*ABS($AA$2+J156)) - $Z$4)</f>
        <v>0</v>
      </c>
      <c r="AC156">
        <f>IF('Dota 2'!$C$6, K156*M156*(1-$Z$3)*'Dota 2'!$H$8, K156*L156*(1-$Z$3)*'Dota 2'!$H$8)</f>
        <v>0</v>
      </c>
      <c r="AD156">
        <f>N156*O156*'Dota 2'!$H$10</f>
        <v>0</v>
      </c>
      <c r="AE156" s="2">
        <f t="shared" si="16"/>
        <v>0</v>
      </c>
      <c r="AF156" s="17">
        <f t="shared" si="17"/>
        <v>0</v>
      </c>
    </row>
    <row r="157" spans="1:32" x14ac:dyDescent="0.25">
      <c r="A157" s="6">
        <f>[1]Items!$A143</f>
        <v>0</v>
      </c>
      <c r="B157" s="16">
        <f>[1]Items!B143</f>
        <v>0</v>
      </c>
      <c r="C157" s="16">
        <f>[1]Items!C143</f>
        <v>0</v>
      </c>
      <c r="D157" s="16">
        <f>[1]Items!D143</f>
        <v>0</v>
      </c>
      <c r="E157" s="16">
        <f>[1]Items!E143</f>
        <v>0</v>
      </c>
      <c r="F157" s="16">
        <f>[1]Items!F143</f>
        <v>0</v>
      </c>
      <c r="G157" s="16">
        <f>[1]Items!G143</f>
        <v>0</v>
      </c>
      <c r="H157" s="16">
        <f>[1]Items!H143</f>
        <v>0</v>
      </c>
      <c r="I157" s="16">
        <f>[1]Items!I143</f>
        <v>0</v>
      </c>
      <c r="J157" s="16">
        <f>[1]Items!J143</f>
        <v>0</v>
      </c>
      <c r="K157" s="16">
        <f>[1]Items!K143</f>
        <v>0</v>
      </c>
      <c r="L157" s="16">
        <f>[1]Items!L143</f>
        <v>0</v>
      </c>
      <c r="M157" s="16">
        <f>[1]Items!M143</f>
        <v>0</v>
      </c>
      <c r="N157" s="16">
        <f>[1]Items!N143</f>
        <v>0</v>
      </c>
      <c r="O157" s="16">
        <f>[1]Items!O143</f>
        <v>0</v>
      </c>
      <c r="P157" s="16">
        <f>[1]Items!P143</f>
        <v>0</v>
      </c>
      <c r="Q157" s="16">
        <f>[1]Items!Q143</f>
        <v>0</v>
      </c>
      <c r="R157" s="16">
        <f>[1]Items!R143</f>
        <v>0</v>
      </c>
      <c r="S157" s="16">
        <f>[1]Items!S143</f>
        <v>0</v>
      </c>
      <c r="W157">
        <f>IF('Dota 2'!$C$6, (Items!C157+Items!E157)*Items!$X$2, (Items!C157+Items!D157)*Items!$X$2)</f>
        <v>0</v>
      </c>
      <c r="X157">
        <f t="shared" si="12"/>
        <v>0</v>
      </c>
      <c r="Y157">
        <f t="shared" si="13"/>
        <v>0</v>
      </c>
      <c r="Z157">
        <f t="shared" si="14"/>
        <v>0</v>
      </c>
      <c r="AA157">
        <f t="shared" si="15"/>
        <v>0</v>
      </c>
      <c r="AB157">
        <f>('Dota 2'!$H$10/$Z$4) * (1-($Y$9*($AA$2+J157))/($Y$7+$Y$9*ABS($AA$2+J157)) - $Z$4)</f>
        <v>0</v>
      </c>
      <c r="AC157">
        <f>IF('Dota 2'!$C$6, K157*M157*(1-$Z$3)*'Dota 2'!$H$8, K157*L157*(1-$Z$3)*'Dota 2'!$H$8)</f>
        <v>0</v>
      </c>
      <c r="AD157">
        <f>N157*O157*'Dota 2'!$H$10</f>
        <v>0</v>
      </c>
      <c r="AE157" s="2">
        <f t="shared" si="16"/>
        <v>0</v>
      </c>
      <c r="AF157" s="17">
        <f t="shared" si="17"/>
        <v>0</v>
      </c>
    </row>
    <row r="158" spans="1:32" x14ac:dyDescent="0.25">
      <c r="A158" s="6">
        <f>[1]Items!$A144</f>
        <v>0</v>
      </c>
      <c r="B158" s="16">
        <f>[1]Items!B144</f>
        <v>0</v>
      </c>
      <c r="C158" s="16">
        <f>[1]Items!C144</f>
        <v>0</v>
      </c>
      <c r="D158" s="16">
        <f>[1]Items!D144</f>
        <v>0</v>
      </c>
      <c r="E158" s="16">
        <f>[1]Items!E144</f>
        <v>0</v>
      </c>
      <c r="F158" s="16">
        <f>[1]Items!F144</f>
        <v>0</v>
      </c>
      <c r="G158" s="16">
        <f>[1]Items!G144</f>
        <v>0</v>
      </c>
      <c r="H158" s="16">
        <f>[1]Items!H144</f>
        <v>0</v>
      </c>
      <c r="I158" s="16">
        <f>[1]Items!I144</f>
        <v>0</v>
      </c>
      <c r="J158" s="16">
        <f>[1]Items!J144</f>
        <v>0</v>
      </c>
      <c r="K158" s="16">
        <f>[1]Items!K144</f>
        <v>0</v>
      </c>
      <c r="L158" s="16">
        <f>[1]Items!L144</f>
        <v>0</v>
      </c>
      <c r="M158" s="16">
        <f>[1]Items!M144</f>
        <v>0</v>
      </c>
      <c r="N158" s="16">
        <f>[1]Items!N144</f>
        <v>0</v>
      </c>
      <c r="O158" s="16">
        <f>[1]Items!O144</f>
        <v>0</v>
      </c>
      <c r="P158" s="16">
        <f>[1]Items!P144</f>
        <v>0</v>
      </c>
      <c r="Q158" s="16">
        <f>[1]Items!Q144</f>
        <v>0</v>
      </c>
      <c r="R158" s="16">
        <f>[1]Items!R144</f>
        <v>0</v>
      </c>
      <c r="S158" s="16">
        <f>[1]Items!S144</f>
        <v>0</v>
      </c>
      <c r="W158">
        <f>IF('Dota 2'!$C$6, (Items!C158+Items!E158)*Items!$X$2, (Items!C158+Items!D158)*Items!$X$2)</f>
        <v>0</v>
      </c>
      <c r="X158">
        <f t="shared" si="12"/>
        <v>0</v>
      </c>
      <c r="Y158">
        <f t="shared" si="13"/>
        <v>0</v>
      </c>
      <c r="Z158">
        <f t="shared" si="14"/>
        <v>0</v>
      </c>
      <c r="AA158">
        <f t="shared" si="15"/>
        <v>0</v>
      </c>
      <c r="AB158">
        <f>('Dota 2'!$H$10/$Z$4) * (1-($Y$9*($AA$2+J158))/($Y$7+$Y$9*ABS($AA$2+J158)) - $Z$4)</f>
        <v>0</v>
      </c>
      <c r="AC158">
        <f>IF('Dota 2'!$C$6, K158*M158*(1-$Z$3)*'Dota 2'!$H$8, K158*L158*(1-$Z$3)*'Dota 2'!$H$8)</f>
        <v>0</v>
      </c>
      <c r="AD158">
        <f>N158*O158*'Dota 2'!$H$10</f>
        <v>0</v>
      </c>
      <c r="AE158" s="2">
        <f t="shared" si="16"/>
        <v>0</v>
      </c>
      <c r="AF158" s="17">
        <f t="shared" si="17"/>
        <v>0</v>
      </c>
    </row>
    <row r="159" spans="1:32" x14ac:dyDescent="0.25">
      <c r="A159" s="6">
        <f>[1]Items!$A145</f>
        <v>0</v>
      </c>
      <c r="B159" s="16">
        <f>[1]Items!B145</f>
        <v>0</v>
      </c>
      <c r="C159" s="16">
        <f>[1]Items!C145</f>
        <v>0</v>
      </c>
      <c r="D159" s="16">
        <f>[1]Items!D145</f>
        <v>0</v>
      </c>
      <c r="E159" s="16">
        <f>[1]Items!E145</f>
        <v>0</v>
      </c>
      <c r="F159" s="16">
        <f>[1]Items!F145</f>
        <v>0</v>
      </c>
      <c r="G159" s="16">
        <f>[1]Items!G145</f>
        <v>0</v>
      </c>
      <c r="H159" s="16">
        <f>[1]Items!H145</f>
        <v>0</v>
      </c>
      <c r="I159" s="16">
        <f>[1]Items!I145</f>
        <v>0</v>
      </c>
      <c r="J159" s="16">
        <f>[1]Items!J145</f>
        <v>0</v>
      </c>
      <c r="K159" s="16">
        <f>[1]Items!K145</f>
        <v>0</v>
      </c>
      <c r="L159" s="16">
        <f>[1]Items!L145</f>
        <v>0</v>
      </c>
      <c r="M159" s="16">
        <f>[1]Items!M145</f>
        <v>0</v>
      </c>
      <c r="N159" s="16">
        <f>[1]Items!N145</f>
        <v>0</v>
      </c>
      <c r="O159" s="16">
        <f>[1]Items!O145</f>
        <v>0</v>
      </c>
      <c r="P159" s="16">
        <f>[1]Items!P145</f>
        <v>0</v>
      </c>
      <c r="Q159" s="16">
        <f>[1]Items!Q145</f>
        <v>0</v>
      </c>
      <c r="R159" s="16">
        <f>[1]Items!R145</f>
        <v>0</v>
      </c>
      <c r="S159" s="16">
        <f>[1]Items!S145</f>
        <v>0</v>
      </c>
      <c r="W159">
        <f>IF('Dota 2'!$C$6, (Items!C159+Items!E159)*Items!$X$2, (Items!C159+Items!D159)*Items!$X$2)</f>
        <v>0</v>
      </c>
      <c r="X159">
        <f t="shared" si="12"/>
        <v>0</v>
      </c>
      <c r="Y159">
        <f t="shared" si="13"/>
        <v>0</v>
      </c>
      <c r="Z159">
        <f t="shared" si="14"/>
        <v>0</v>
      </c>
      <c r="AA159">
        <f t="shared" si="15"/>
        <v>0</v>
      </c>
      <c r="AB159">
        <f>('Dota 2'!$H$10/$Z$4) * (1-($Y$9*($AA$2+J159))/($Y$7+$Y$9*ABS($AA$2+J159)) - $Z$4)</f>
        <v>0</v>
      </c>
      <c r="AC159">
        <f>IF('Dota 2'!$C$6, K159*M159*(1-$Z$3)*'Dota 2'!$H$8, K159*L159*(1-$Z$3)*'Dota 2'!$H$8)</f>
        <v>0</v>
      </c>
      <c r="AD159">
        <f>N159*O159*'Dota 2'!$H$10</f>
        <v>0</v>
      </c>
      <c r="AE159" s="2">
        <f t="shared" si="16"/>
        <v>0</v>
      </c>
      <c r="AF159" s="17">
        <f t="shared" si="17"/>
        <v>0</v>
      </c>
    </row>
    <row r="160" spans="1:32" x14ac:dyDescent="0.25">
      <c r="A160" s="6">
        <f>[1]Items!$A146</f>
        <v>0</v>
      </c>
      <c r="B160" s="16">
        <f>[1]Items!B146</f>
        <v>0</v>
      </c>
      <c r="C160" s="16">
        <f>[1]Items!C146</f>
        <v>0</v>
      </c>
      <c r="D160" s="16">
        <f>[1]Items!D146</f>
        <v>0</v>
      </c>
      <c r="E160" s="16">
        <f>[1]Items!E146</f>
        <v>0</v>
      </c>
      <c r="F160" s="16">
        <f>[1]Items!F146</f>
        <v>0</v>
      </c>
      <c r="G160" s="16">
        <f>[1]Items!G146</f>
        <v>0</v>
      </c>
      <c r="H160" s="16">
        <f>[1]Items!H146</f>
        <v>0</v>
      </c>
      <c r="I160" s="16">
        <f>[1]Items!I146</f>
        <v>0</v>
      </c>
      <c r="J160" s="16">
        <f>[1]Items!J146</f>
        <v>0</v>
      </c>
      <c r="K160" s="16">
        <f>[1]Items!K146</f>
        <v>0</v>
      </c>
      <c r="L160" s="16">
        <f>[1]Items!L146</f>
        <v>0</v>
      </c>
      <c r="M160" s="16">
        <f>[1]Items!M146</f>
        <v>0</v>
      </c>
      <c r="N160" s="16">
        <f>[1]Items!N146</f>
        <v>0</v>
      </c>
      <c r="O160" s="16">
        <f>[1]Items!O146</f>
        <v>0</v>
      </c>
      <c r="P160" s="16">
        <f>[1]Items!P146</f>
        <v>0</v>
      </c>
      <c r="Q160" s="16">
        <f>[1]Items!Q146</f>
        <v>0</v>
      </c>
      <c r="R160" s="16">
        <f>[1]Items!R146</f>
        <v>0</v>
      </c>
      <c r="S160" s="16">
        <f>[1]Items!S146</f>
        <v>0</v>
      </c>
      <c r="W160">
        <f>IF('Dota 2'!$C$6, (Items!C160+Items!E160)*Items!$X$2, (Items!C160+Items!D160)*Items!$X$2)</f>
        <v>0</v>
      </c>
      <c r="X160">
        <f t="shared" si="12"/>
        <v>0</v>
      </c>
      <c r="Y160">
        <f t="shared" si="13"/>
        <v>0</v>
      </c>
      <c r="Z160">
        <f t="shared" si="14"/>
        <v>0</v>
      </c>
      <c r="AA160">
        <f t="shared" si="15"/>
        <v>0</v>
      </c>
      <c r="AB160">
        <f>('Dota 2'!$H$10/$Z$4) * (1-($Y$9*($AA$2+J160))/($Y$7+$Y$9*ABS($AA$2+J160)) - $Z$4)</f>
        <v>0</v>
      </c>
      <c r="AC160">
        <f>IF('Dota 2'!$C$6, K160*M160*(1-$Z$3)*'Dota 2'!$H$8, K160*L160*(1-$Z$3)*'Dota 2'!$H$8)</f>
        <v>0</v>
      </c>
      <c r="AD160">
        <f>N160*O160*'Dota 2'!$H$10</f>
        <v>0</v>
      </c>
      <c r="AE160" s="2">
        <f t="shared" si="16"/>
        <v>0</v>
      </c>
      <c r="AF160" s="17">
        <f t="shared" si="17"/>
        <v>0</v>
      </c>
    </row>
    <row r="161" spans="1:32" x14ac:dyDescent="0.25">
      <c r="A161" s="6">
        <f>[1]Items!$A147</f>
        <v>0</v>
      </c>
      <c r="B161" s="16">
        <f>[1]Items!B147</f>
        <v>0</v>
      </c>
      <c r="C161" s="16">
        <f>[1]Items!C147</f>
        <v>0</v>
      </c>
      <c r="D161" s="16">
        <f>[1]Items!D147</f>
        <v>0</v>
      </c>
      <c r="E161" s="16">
        <f>[1]Items!E147</f>
        <v>0</v>
      </c>
      <c r="F161" s="16">
        <f>[1]Items!F147</f>
        <v>0</v>
      </c>
      <c r="G161" s="16">
        <f>[1]Items!G147</f>
        <v>0</v>
      </c>
      <c r="H161" s="16">
        <f>[1]Items!H147</f>
        <v>0</v>
      </c>
      <c r="I161" s="16">
        <f>[1]Items!I147</f>
        <v>0</v>
      </c>
      <c r="J161" s="16">
        <f>[1]Items!J147</f>
        <v>0</v>
      </c>
      <c r="K161" s="16">
        <f>[1]Items!K147</f>
        <v>0</v>
      </c>
      <c r="L161" s="16">
        <f>[1]Items!L147</f>
        <v>0</v>
      </c>
      <c r="M161" s="16">
        <f>[1]Items!M147</f>
        <v>0</v>
      </c>
      <c r="N161" s="16">
        <f>[1]Items!N147</f>
        <v>0</v>
      </c>
      <c r="O161" s="16">
        <f>[1]Items!O147</f>
        <v>0</v>
      </c>
      <c r="P161" s="16">
        <f>[1]Items!P147</f>
        <v>0</v>
      </c>
      <c r="Q161" s="16">
        <f>[1]Items!Q147</f>
        <v>0</v>
      </c>
      <c r="R161" s="16">
        <f>[1]Items!R147</f>
        <v>0</v>
      </c>
      <c r="S161" s="16">
        <f>[1]Items!S147</f>
        <v>0</v>
      </c>
      <c r="W161">
        <f>IF('Dota 2'!$C$6, (Items!C161+Items!E161)*Items!$X$2, (Items!C161+Items!D161)*Items!$X$2)</f>
        <v>0</v>
      </c>
      <c r="X161">
        <f t="shared" si="12"/>
        <v>0</v>
      </c>
      <c r="Y161">
        <f t="shared" si="13"/>
        <v>0</v>
      </c>
      <c r="Z161">
        <f t="shared" si="14"/>
        <v>0</v>
      </c>
      <c r="AA161">
        <f t="shared" si="15"/>
        <v>0</v>
      </c>
      <c r="AB161">
        <f>('Dota 2'!$H$10/$Z$4) * (1-($Y$9*($AA$2+J161))/($Y$7+$Y$9*ABS($AA$2+J161)) - $Z$4)</f>
        <v>0</v>
      </c>
      <c r="AC161">
        <f>IF('Dota 2'!$C$6, K161*M161*(1-$Z$3)*'Dota 2'!$H$8, K161*L161*(1-$Z$3)*'Dota 2'!$H$8)</f>
        <v>0</v>
      </c>
      <c r="AD161">
        <f>N161*O161*'Dota 2'!$H$10</f>
        <v>0</v>
      </c>
      <c r="AE161" s="2">
        <f t="shared" si="16"/>
        <v>0</v>
      </c>
      <c r="AF161" s="17">
        <f t="shared" si="17"/>
        <v>0</v>
      </c>
    </row>
    <row r="162" spans="1:32" x14ac:dyDescent="0.25">
      <c r="A162" s="6">
        <f>[1]Items!$A148</f>
        <v>0</v>
      </c>
      <c r="B162" s="16">
        <f>[1]Items!B148</f>
        <v>0</v>
      </c>
      <c r="C162" s="16">
        <f>[1]Items!C148</f>
        <v>0</v>
      </c>
      <c r="D162" s="16">
        <f>[1]Items!D148</f>
        <v>0</v>
      </c>
      <c r="E162" s="16">
        <f>[1]Items!E148</f>
        <v>0</v>
      </c>
      <c r="F162" s="16">
        <f>[1]Items!F148</f>
        <v>0</v>
      </c>
      <c r="G162" s="16">
        <f>[1]Items!G148</f>
        <v>0</v>
      </c>
      <c r="H162" s="16">
        <f>[1]Items!H148</f>
        <v>0</v>
      </c>
      <c r="I162" s="16">
        <f>[1]Items!I148</f>
        <v>0</v>
      </c>
      <c r="J162" s="16">
        <f>[1]Items!J148</f>
        <v>0</v>
      </c>
      <c r="K162" s="16">
        <f>[1]Items!K148</f>
        <v>0</v>
      </c>
      <c r="L162" s="16">
        <f>[1]Items!L148</f>
        <v>0</v>
      </c>
      <c r="M162" s="16">
        <f>[1]Items!M148</f>
        <v>0</v>
      </c>
      <c r="N162" s="16">
        <f>[1]Items!N148</f>
        <v>0</v>
      </c>
      <c r="O162" s="16">
        <f>[1]Items!O148</f>
        <v>0</v>
      </c>
      <c r="P162" s="16">
        <f>[1]Items!P148</f>
        <v>0</v>
      </c>
      <c r="Q162" s="16">
        <f>[1]Items!Q148</f>
        <v>0</v>
      </c>
      <c r="R162" s="16">
        <f>[1]Items!R148</f>
        <v>0</v>
      </c>
      <c r="S162" s="16">
        <f>[1]Items!S148</f>
        <v>0</v>
      </c>
      <c r="W162">
        <f>IF('Dota 2'!$C$6, (Items!C162+Items!E162)*Items!$X$2, (Items!C162+Items!D162)*Items!$X$2)</f>
        <v>0</v>
      </c>
      <c r="X162">
        <f t="shared" si="12"/>
        <v>0</v>
      </c>
      <c r="Y162">
        <f t="shared" si="13"/>
        <v>0</v>
      </c>
      <c r="Z162">
        <f t="shared" si="14"/>
        <v>0</v>
      </c>
      <c r="AA162">
        <f t="shared" si="15"/>
        <v>0</v>
      </c>
      <c r="AB162">
        <f>('Dota 2'!$H$10/$Z$4) * (1-($Y$9*($AA$2+J162))/($Y$7+$Y$9*ABS($AA$2+J162)) - $Z$4)</f>
        <v>0</v>
      </c>
      <c r="AC162">
        <f>IF('Dota 2'!$C$6, K162*M162*(1-$Z$3)*'Dota 2'!$H$8, K162*L162*(1-$Z$3)*'Dota 2'!$H$8)</f>
        <v>0</v>
      </c>
      <c r="AD162">
        <f>N162*O162*'Dota 2'!$H$10</f>
        <v>0</v>
      </c>
      <c r="AE162" s="2">
        <f t="shared" si="16"/>
        <v>0</v>
      </c>
      <c r="AF162" s="17">
        <f t="shared" si="17"/>
        <v>0</v>
      </c>
    </row>
    <row r="163" spans="1:32" x14ac:dyDescent="0.25">
      <c r="A163" s="6">
        <f>[1]Items!$A149</f>
        <v>0</v>
      </c>
      <c r="B163" s="16">
        <f>[1]Items!B149</f>
        <v>0</v>
      </c>
      <c r="C163" s="16">
        <f>[1]Items!C149</f>
        <v>0</v>
      </c>
      <c r="D163" s="16">
        <f>[1]Items!D149</f>
        <v>0</v>
      </c>
      <c r="E163" s="16">
        <f>[1]Items!E149</f>
        <v>0</v>
      </c>
      <c r="F163" s="16">
        <f>[1]Items!F149</f>
        <v>0</v>
      </c>
      <c r="G163" s="16">
        <f>[1]Items!G149</f>
        <v>0</v>
      </c>
      <c r="H163" s="16">
        <f>[1]Items!H149</f>
        <v>0</v>
      </c>
      <c r="I163" s="16">
        <f>[1]Items!I149</f>
        <v>0</v>
      </c>
      <c r="J163" s="16">
        <f>[1]Items!J149</f>
        <v>0</v>
      </c>
      <c r="K163" s="16">
        <f>[1]Items!K149</f>
        <v>0</v>
      </c>
      <c r="L163" s="16">
        <f>[1]Items!L149</f>
        <v>0</v>
      </c>
      <c r="M163" s="16">
        <f>[1]Items!M149</f>
        <v>0</v>
      </c>
      <c r="N163" s="16">
        <f>[1]Items!N149</f>
        <v>0</v>
      </c>
      <c r="O163" s="16">
        <f>[1]Items!O149</f>
        <v>0</v>
      </c>
      <c r="P163" s="16">
        <f>[1]Items!P149</f>
        <v>0</v>
      </c>
      <c r="Q163" s="16">
        <f>[1]Items!Q149</f>
        <v>0</v>
      </c>
      <c r="R163" s="16">
        <f>[1]Items!R149</f>
        <v>0</v>
      </c>
      <c r="S163" s="16">
        <f>[1]Items!S149</f>
        <v>0</v>
      </c>
      <c r="W163">
        <f>IF('Dota 2'!$C$6, (Items!C163+Items!E163)*Items!$X$2, (Items!C163+Items!D163)*Items!$X$2)</f>
        <v>0</v>
      </c>
      <c r="X163">
        <f t="shared" si="12"/>
        <v>0</v>
      </c>
      <c r="Y163">
        <f t="shared" si="13"/>
        <v>0</v>
      </c>
      <c r="Z163">
        <f t="shared" si="14"/>
        <v>0</v>
      </c>
      <c r="AA163">
        <f t="shared" si="15"/>
        <v>0</v>
      </c>
      <c r="AB163">
        <f>('Dota 2'!$H$10/$Z$4) * (1-($Y$9*($AA$2+J163))/($Y$7+$Y$9*ABS($AA$2+J163)) - $Z$4)</f>
        <v>0</v>
      </c>
      <c r="AC163">
        <f>IF('Dota 2'!$C$6, K163*M163*(1-$Z$3)*'Dota 2'!$H$8, K163*L163*(1-$Z$3)*'Dota 2'!$H$8)</f>
        <v>0</v>
      </c>
      <c r="AD163">
        <f>N163*O163*'Dota 2'!$H$10</f>
        <v>0</v>
      </c>
      <c r="AE163" s="2">
        <f t="shared" si="16"/>
        <v>0</v>
      </c>
      <c r="AF163" s="17">
        <f t="shared" si="17"/>
        <v>0</v>
      </c>
    </row>
    <row r="164" spans="1:32" x14ac:dyDescent="0.25">
      <c r="A164" s="6">
        <f>[1]Items!$A150</f>
        <v>0</v>
      </c>
      <c r="B164" s="16">
        <f>[1]Items!B150</f>
        <v>0</v>
      </c>
      <c r="C164" s="16">
        <f>[1]Items!C150</f>
        <v>0</v>
      </c>
      <c r="D164" s="16">
        <f>[1]Items!D150</f>
        <v>0</v>
      </c>
      <c r="E164" s="16">
        <f>[1]Items!E150</f>
        <v>0</v>
      </c>
      <c r="F164" s="16">
        <f>[1]Items!F150</f>
        <v>0</v>
      </c>
      <c r="G164" s="16">
        <f>[1]Items!G150</f>
        <v>0</v>
      </c>
      <c r="H164" s="16">
        <f>[1]Items!H150</f>
        <v>0</v>
      </c>
      <c r="I164" s="16">
        <f>[1]Items!I150</f>
        <v>0</v>
      </c>
      <c r="J164" s="16">
        <f>[1]Items!J150</f>
        <v>0</v>
      </c>
      <c r="K164" s="16">
        <f>[1]Items!K150</f>
        <v>0</v>
      </c>
      <c r="L164" s="16">
        <f>[1]Items!L150</f>
        <v>0</v>
      </c>
      <c r="M164" s="16">
        <f>[1]Items!M150</f>
        <v>0</v>
      </c>
      <c r="N164" s="16">
        <f>[1]Items!N150</f>
        <v>0</v>
      </c>
      <c r="O164" s="16">
        <f>[1]Items!O150</f>
        <v>0</v>
      </c>
      <c r="P164" s="16">
        <f>[1]Items!P150</f>
        <v>0</v>
      </c>
      <c r="Q164" s="16">
        <f>[1]Items!Q150</f>
        <v>0</v>
      </c>
      <c r="R164" s="16">
        <f>[1]Items!R150</f>
        <v>0</v>
      </c>
      <c r="S164" s="16">
        <f>[1]Items!S150</f>
        <v>0</v>
      </c>
      <c r="W164">
        <f>IF('Dota 2'!$C$6, (Items!C164+Items!E164)*Items!$X$2, (Items!C164+Items!D164)*Items!$X$2)</f>
        <v>0</v>
      </c>
      <c r="X164">
        <f t="shared" si="12"/>
        <v>0</v>
      </c>
      <c r="Y164">
        <f t="shared" si="13"/>
        <v>0</v>
      </c>
      <c r="Z164">
        <f t="shared" si="14"/>
        <v>0</v>
      </c>
      <c r="AA164">
        <f t="shared" si="15"/>
        <v>0</v>
      </c>
      <c r="AB164">
        <f>('Dota 2'!$H$10/$Z$4) * (1-($Y$9*($AA$2+J164))/($Y$7+$Y$9*ABS($AA$2+J164)) - $Z$4)</f>
        <v>0</v>
      </c>
      <c r="AC164">
        <f>IF('Dota 2'!$C$6, K164*M164*(1-$Z$3)*'Dota 2'!$H$8, K164*L164*(1-$Z$3)*'Dota 2'!$H$8)</f>
        <v>0</v>
      </c>
      <c r="AD164">
        <f>N164*O164*'Dota 2'!$H$10</f>
        <v>0</v>
      </c>
      <c r="AE164" s="2">
        <f t="shared" si="16"/>
        <v>0</v>
      </c>
      <c r="AF164" s="17">
        <f t="shared" si="17"/>
        <v>0</v>
      </c>
    </row>
    <row r="165" spans="1:32" x14ac:dyDescent="0.25">
      <c r="A165" s="6">
        <f>[1]Items!$A151</f>
        <v>0</v>
      </c>
      <c r="B165" s="16">
        <f>[1]Items!B151</f>
        <v>0</v>
      </c>
      <c r="C165" s="16">
        <f>[1]Items!C151</f>
        <v>0</v>
      </c>
      <c r="D165" s="16">
        <f>[1]Items!D151</f>
        <v>0</v>
      </c>
      <c r="E165" s="16">
        <f>[1]Items!E151</f>
        <v>0</v>
      </c>
      <c r="F165" s="16">
        <f>[1]Items!F151</f>
        <v>0</v>
      </c>
      <c r="G165" s="16">
        <f>[1]Items!G151</f>
        <v>0</v>
      </c>
      <c r="H165" s="16">
        <f>[1]Items!H151</f>
        <v>0</v>
      </c>
      <c r="I165" s="16">
        <f>[1]Items!I151</f>
        <v>0</v>
      </c>
      <c r="J165" s="16">
        <f>[1]Items!J151</f>
        <v>0</v>
      </c>
      <c r="K165" s="16">
        <f>[1]Items!K151</f>
        <v>0</v>
      </c>
      <c r="L165" s="16">
        <f>[1]Items!L151</f>
        <v>0</v>
      </c>
      <c r="M165" s="16">
        <f>[1]Items!M151</f>
        <v>0</v>
      </c>
      <c r="N165" s="16">
        <f>[1]Items!N151</f>
        <v>0</v>
      </c>
      <c r="O165" s="16">
        <f>[1]Items!O151</f>
        <v>0</v>
      </c>
      <c r="P165" s="16">
        <f>[1]Items!P151</f>
        <v>0</v>
      </c>
      <c r="Q165" s="16">
        <f>[1]Items!Q151</f>
        <v>0</v>
      </c>
      <c r="R165" s="16">
        <f>[1]Items!R151</f>
        <v>0</v>
      </c>
      <c r="S165" s="16">
        <f>[1]Items!S151</f>
        <v>0</v>
      </c>
      <c r="W165">
        <f>IF('Dota 2'!$C$6, (Items!C165+Items!E165)*Items!$X$2, (Items!C165+Items!D165)*Items!$X$2)</f>
        <v>0</v>
      </c>
      <c r="X165">
        <f t="shared" si="12"/>
        <v>0</v>
      </c>
      <c r="Y165">
        <f t="shared" si="13"/>
        <v>0</v>
      </c>
      <c r="Z165">
        <f t="shared" si="14"/>
        <v>0</v>
      </c>
      <c r="AA165">
        <f t="shared" si="15"/>
        <v>0</v>
      </c>
      <c r="AB165">
        <f>('Dota 2'!$H$10/$Z$4) * (1-($Y$9*($AA$2+J165))/($Y$7+$Y$9*ABS($AA$2+J165)) - $Z$4)</f>
        <v>0</v>
      </c>
      <c r="AC165">
        <f>IF('Dota 2'!$C$6, K165*M165*(1-$Z$3)*'Dota 2'!$H$8, K165*L165*(1-$Z$3)*'Dota 2'!$H$8)</f>
        <v>0</v>
      </c>
      <c r="AD165">
        <f>N165*O165*'Dota 2'!$H$10</f>
        <v>0</v>
      </c>
      <c r="AE165" s="2">
        <f t="shared" si="16"/>
        <v>0</v>
      </c>
      <c r="AF165" s="17">
        <f t="shared" si="17"/>
        <v>0</v>
      </c>
    </row>
    <row r="166" spans="1:32" x14ac:dyDescent="0.25">
      <c r="A166" s="6">
        <f>[1]Items!$A152</f>
        <v>0</v>
      </c>
      <c r="B166" s="16">
        <f>[1]Items!B152</f>
        <v>0</v>
      </c>
      <c r="C166" s="16">
        <f>[1]Items!C152</f>
        <v>0</v>
      </c>
      <c r="D166" s="16">
        <f>[1]Items!D152</f>
        <v>0</v>
      </c>
      <c r="E166" s="16">
        <f>[1]Items!E152</f>
        <v>0</v>
      </c>
      <c r="F166" s="16">
        <f>[1]Items!F152</f>
        <v>0</v>
      </c>
      <c r="G166" s="16">
        <f>[1]Items!G152</f>
        <v>0</v>
      </c>
      <c r="H166" s="16">
        <f>[1]Items!H152</f>
        <v>0</v>
      </c>
      <c r="I166" s="16">
        <f>[1]Items!I152</f>
        <v>0</v>
      </c>
      <c r="J166" s="16">
        <f>[1]Items!J152</f>
        <v>0</v>
      </c>
      <c r="K166" s="16">
        <f>[1]Items!K152</f>
        <v>0</v>
      </c>
      <c r="L166" s="16">
        <f>[1]Items!L152</f>
        <v>0</v>
      </c>
      <c r="M166" s="16">
        <f>[1]Items!M152</f>
        <v>0</v>
      </c>
      <c r="N166" s="16">
        <f>[1]Items!N152</f>
        <v>0</v>
      </c>
      <c r="O166" s="16">
        <f>[1]Items!O152</f>
        <v>0</v>
      </c>
      <c r="P166" s="16">
        <f>[1]Items!P152</f>
        <v>0</v>
      </c>
      <c r="Q166" s="16">
        <f>[1]Items!Q152</f>
        <v>0</v>
      </c>
      <c r="R166" s="16">
        <f>[1]Items!R152</f>
        <v>0</v>
      </c>
      <c r="S166" s="16">
        <f>[1]Items!S152</f>
        <v>0</v>
      </c>
      <c r="W166">
        <f>IF('Dota 2'!$C$6, (Items!C166+Items!E166)*Items!$X$2, (Items!C166+Items!D166)*Items!$X$2)</f>
        <v>0</v>
      </c>
      <c r="X166">
        <f t="shared" si="12"/>
        <v>0</v>
      </c>
      <c r="Y166">
        <f t="shared" si="13"/>
        <v>0</v>
      </c>
      <c r="Z166">
        <f t="shared" si="14"/>
        <v>0</v>
      </c>
      <c r="AA166">
        <f t="shared" si="15"/>
        <v>0</v>
      </c>
      <c r="AB166">
        <f>('Dota 2'!$H$10/$Z$4) * (1-($Y$9*($AA$2+J166))/($Y$7+$Y$9*ABS($AA$2+J166)) - $Z$4)</f>
        <v>0</v>
      </c>
      <c r="AC166">
        <f>IF('Dota 2'!$C$6, K166*M166*(1-$Z$3)*'Dota 2'!$H$8, K166*L166*(1-$Z$3)*'Dota 2'!$H$8)</f>
        <v>0</v>
      </c>
      <c r="AD166">
        <f>N166*O166*'Dota 2'!$H$10</f>
        <v>0</v>
      </c>
      <c r="AE166" s="2">
        <f t="shared" si="16"/>
        <v>0</v>
      </c>
      <c r="AF166" s="17">
        <f t="shared" si="17"/>
        <v>0</v>
      </c>
    </row>
    <row r="167" spans="1:32" x14ac:dyDescent="0.25">
      <c r="A167" s="6">
        <f>[1]Items!$A153</f>
        <v>0</v>
      </c>
      <c r="B167" s="16">
        <f>[1]Items!B153</f>
        <v>0</v>
      </c>
      <c r="C167" s="16">
        <f>[1]Items!C153</f>
        <v>0</v>
      </c>
      <c r="D167" s="16">
        <f>[1]Items!D153</f>
        <v>0</v>
      </c>
      <c r="E167" s="16">
        <f>[1]Items!E153</f>
        <v>0</v>
      </c>
      <c r="F167" s="16">
        <f>[1]Items!F153</f>
        <v>0</v>
      </c>
      <c r="G167" s="16">
        <f>[1]Items!G153</f>
        <v>0</v>
      </c>
      <c r="H167" s="16">
        <f>[1]Items!H153</f>
        <v>0</v>
      </c>
      <c r="I167" s="16">
        <f>[1]Items!I153</f>
        <v>0</v>
      </c>
      <c r="J167" s="16">
        <f>[1]Items!J153</f>
        <v>0</v>
      </c>
      <c r="K167" s="16">
        <f>[1]Items!K153</f>
        <v>0</v>
      </c>
      <c r="L167" s="16">
        <f>[1]Items!L153</f>
        <v>0</v>
      </c>
      <c r="M167" s="16">
        <f>[1]Items!M153</f>
        <v>0</v>
      </c>
      <c r="N167" s="16">
        <f>[1]Items!N153</f>
        <v>0</v>
      </c>
      <c r="O167" s="16">
        <f>[1]Items!O153</f>
        <v>0</v>
      </c>
      <c r="P167" s="16">
        <f>[1]Items!P153</f>
        <v>0</v>
      </c>
      <c r="Q167" s="16">
        <f>[1]Items!Q153</f>
        <v>0</v>
      </c>
      <c r="R167" s="16">
        <f>[1]Items!R153</f>
        <v>0</v>
      </c>
      <c r="S167" s="16">
        <f>[1]Items!S153</f>
        <v>0</v>
      </c>
      <c r="W167">
        <f>IF('Dota 2'!$C$6, (Items!C167+Items!E167)*Items!$X$2, (Items!C167+Items!D167)*Items!$X$2)</f>
        <v>0</v>
      </c>
      <c r="X167">
        <f t="shared" si="12"/>
        <v>0</v>
      </c>
      <c r="Y167">
        <f t="shared" si="13"/>
        <v>0</v>
      </c>
      <c r="Z167">
        <f t="shared" si="14"/>
        <v>0</v>
      </c>
      <c r="AA167">
        <f t="shared" si="15"/>
        <v>0</v>
      </c>
      <c r="AB167">
        <f>('Dota 2'!$H$10/$Z$4) * (1-($Y$9*($AA$2+J167))/($Y$7+$Y$9*ABS($AA$2+J167)) - $Z$4)</f>
        <v>0</v>
      </c>
      <c r="AC167">
        <f>IF('Dota 2'!$C$6, K167*M167*(1-$Z$3)*'Dota 2'!$H$8, K167*L167*(1-$Z$3)*'Dota 2'!$H$8)</f>
        <v>0</v>
      </c>
      <c r="AD167">
        <f>N167*O167*'Dota 2'!$H$10</f>
        <v>0</v>
      </c>
      <c r="AE167" s="2">
        <f t="shared" si="16"/>
        <v>0</v>
      </c>
      <c r="AF167" s="17">
        <f t="shared" si="17"/>
        <v>0</v>
      </c>
    </row>
    <row r="168" spans="1:32" x14ac:dyDescent="0.25">
      <c r="A168" s="6">
        <f>[1]Items!$A154</f>
        <v>0</v>
      </c>
      <c r="B168" s="16">
        <f>[1]Items!B154</f>
        <v>0</v>
      </c>
      <c r="C168" s="16">
        <f>[1]Items!C154</f>
        <v>0</v>
      </c>
      <c r="D168" s="16">
        <f>[1]Items!D154</f>
        <v>0</v>
      </c>
      <c r="E168" s="16">
        <f>[1]Items!E154</f>
        <v>0</v>
      </c>
      <c r="F168" s="16">
        <f>[1]Items!F154</f>
        <v>0</v>
      </c>
      <c r="G168" s="16">
        <f>[1]Items!G154</f>
        <v>0</v>
      </c>
      <c r="H168" s="16">
        <f>[1]Items!H154</f>
        <v>0</v>
      </c>
      <c r="I168" s="16">
        <f>[1]Items!I154</f>
        <v>0</v>
      </c>
      <c r="J168" s="16">
        <f>[1]Items!J154</f>
        <v>0</v>
      </c>
      <c r="K168" s="16">
        <f>[1]Items!K154</f>
        <v>0</v>
      </c>
      <c r="L168" s="16">
        <f>[1]Items!L154</f>
        <v>0</v>
      </c>
      <c r="M168" s="16">
        <f>[1]Items!M154</f>
        <v>0</v>
      </c>
      <c r="N168" s="16">
        <f>[1]Items!N154</f>
        <v>0</v>
      </c>
      <c r="O168" s="16">
        <f>[1]Items!O154</f>
        <v>0</v>
      </c>
      <c r="P168" s="16">
        <f>[1]Items!P154</f>
        <v>0</v>
      </c>
      <c r="Q168" s="16">
        <f>[1]Items!Q154</f>
        <v>0</v>
      </c>
      <c r="R168" s="16">
        <f>[1]Items!R154</f>
        <v>0</v>
      </c>
      <c r="S168" s="16">
        <f>[1]Items!S154</f>
        <v>0</v>
      </c>
      <c r="W168">
        <f>IF('Dota 2'!$C$6, (Items!C168+Items!E168)*Items!$X$2, (Items!C168+Items!D168)*Items!$X$2)</f>
        <v>0</v>
      </c>
      <c r="X168">
        <f t="shared" si="12"/>
        <v>0</v>
      </c>
      <c r="Y168">
        <f t="shared" si="13"/>
        <v>0</v>
      </c>
      <c r="Z168">
        <f t="shared" si="14"/>
        <v>0</v>
      </c>
      <c r="AA168">
        <f t="shared" si="15"/>
        <v>0</v>
      </c>
      <c r="AB168">
        <f>('Dota 2'!$H$10/$Z$4) * (1-($Y$9*($AA$2+J168))/($Y$7+$Y$9*ABS($AA$2+J168)) - $Z$4)</f>
        <v>0</v>
      </c>
      <c r="AC168">
        <f>IF('Dota 2'!$C$6, K168*M168*(1-$Z$3)*'Dota 2'!$H$8, K168*L168*(1-$Z$3)*'Dota 2'!$H$8)</f>
        <v>0</v>
      </c>
      <c r="AD168">
        <f>N168*O168*'Dota 2'!$H$10</f>
        <v>0</v>
      </c>
      <c r="AE168" s="2">
        <f t="shared" si="16"/>
        <v>0</v>
      </c>
      <c r="AF168" s="17">
        <f t="shared" si="17"/>
        <v>0</v>
      </c>
    </row>
    <row r="169" spans="1:32" x14ac:dyDescent="0.25">
      <c r="A169" s="6">
        <f>[1]Items!$A155</f>
        <v>0</v>
      </c>
      <c r="B169" s="16">
        <f>[1]Items!B155</f>
        <v>0</v>
      </c>
      <c r="C169" s="16">
        <f>[1]Items!C155</f>
        <v>0</v>
      </c>
      <c r="D169" s="16">
        <f>[1]Items!D155</f>
        <v>0</v>
      </c>
      <c r="E169" s="16">
        <f>[1]Items!E155</f>
        <v>0</v>
      </c>
      <c r="F169" s="16">
        <f>[1]Items!F155</f>
        <v>0</v>
      </c>
      <c r="G169" s="16">
        <f>[1]Items!G155</f>
        <v>0</v>
      </c>
      <c r="H169" s="16">
        <f>[1]Items!H155</f>
        <v>0</v>
      </c>
      <c r="I169" s="16">
        <f>[1]Items!I155</f>
        <v>0</v>
      </c>
      <c r="J169" s="16">
        <f>[1]Items!J155</f>
        <v>0</v>
      </c>
      <c r="K169" s="16">
        <f>[1]Items!K155</f>
        <v>0</v>
      </c>
      <c r="L169" s="16">
        <f>[1]Items!L155</f>
        <v>0</v>
      </c>
      <c r="M169" s="16">
        <f>[1]Items!M155</f>
        <v>0</v>
      </c>
      <c r="N169" s="16">
        <f>[1]Items!N155</f>
        <v>0</v>
      </c>
      <c r="O169" s="16">
        <f>[1]Items!O155</f>
        <v>0</v>
      </c>
      <c r="P169" s="16">
        <f>[1]Items!P155</f>
        <v>0</v>
      </c>
      <c r="Q169" s="16">
        <f>[1]Items!Q155</f>
        <v>0</v>
      </c>
      <c r="R169" s="16">
        <f>[1]Items!R155</f>
        <v>0</v>
      </c>
      <c r="S169" s="16">
        <f>[1]Items!S155</f>
        <v>0</v>
      </c>
      <c r="W169">
        <f>IF('Dota 2'!$C$6, (Items!C169+Items!E169)*Items!$X$2, (Items!C169+Items!D169)*Items!$X$2)</f>
        <v>0</v>
      </c>
      <c r="X169">
        <f t="shared" si="12"/>
        <v>0</v>
      </c>
      <c r="Y169">
        <f t="shared" si="13"/>
        <v>0</v>
      </c>
      <c r="Z169">
        <f t="shared" si="14"/>
        <v>0</v>
      </c>
      <c r="AA169">
        <f t="shared" si="15"/>
        <v>0</v>
      </c>
      <c r="AB169">
        <f>('Dota 2'!$H$10/$Z$4) * (1-($Y$9*($AA$2+J169))/($Y$7+$Y$9*ABS($AA$2+J169)) - $Z$4)</f>
        <v>0</v>
      </c>
      <c r="AC169">
        <f>IF('Dota 2'!$C$6, K169*M169*(1-$Z$3)*'Dota 2'!$H$8, K169*L169*(1-$Z$3)*'Dota 2'!$H$8)</f>
        <v>0</v>
      </c>
      <c r="AD169">
        <f>N169*O169*'Dota 2'!$H$10</f>
        <v>0</v>
      </c>
      <c r="AE169" s="2">
        <f t="shared" si="16"/>
        <v>0</v>
      </c>
      <c r="AF169" s="17">
        <f t="shared" si="17"/>
        <v>0</v>
      </c>
    </row>
    <row r="170" spans="1:32" x14ac:dyDescent="0.25">
      <c r="A170" s="6">
        <f>[1]Items!$A156</f>
        <v>0</v>
      </c>
      <c r="B170" s="16">
        <f>[1]Items!B156</f>
        <v>0</v>
      </c>
      <c r="C170" s="16">
        <f>[1]Items!C156</f>
        <v>0</v>
      </c>
      <c r="D170" s="16">
        <f>[1]Items!D156</f>
        <v>0</v>
      </c>
      <c r="E170" s="16">
        <f>[1]Items!E156</f>
        <v>0</v>
      </c>
      <c r="F170" s="16">
        <f>[1]Items!F156</f>
        <v>0</v>
      </c>
      <c r="G170" s="16">
        <f>[1]Items!G156</f>
        <v>0</v>
      </c>
      <c r="H170" s="16">
        <f>[1]Items!H156</f>
        <v>0</v>
      </c>
      <c r="I170" s="16">
        <f>[1]Items!I156</f>
        <v>0</v>
      </c>
      <c r="J170" s="16">
        <f>[1]Items!J156</f>
        <v>0</v>
      </c>
      <c r="K170" s="16">
        <f>[1]Items!K156</f>
        <v>0</v>
      </c>
      <c r="L170" s="16">
        <f>[1]Items!L156</f>
        <v>0</v>
      </c>
      <c r="M170" s="16">
        <f>[1]Items!M156</f>
        <v>0</v>
      </c>
      <c r="N170" s="16">
        <f>[1]Items!N156</f>
        <v>0</v>
      </c>
      <c r="O170" s="16">
        <f>[1]Items!O156</f>
        <v>0</v>
      </c>
      <c r="P170" s="16">
        <f>[1]Items!P156</f>
        <v>0</v>
      </c>
      <c r="Q170" s="16">
        <f>[1]Items!Q156</f>
        <v>0</v>
      </c>
      <c r="R170" s="16">
        <f>[1]Items!R156</f>
        <v>0</v>
      </c>
      <c r="S170" s="16">
        <f>[1]Items!S156</f>
        <v>0</v>
      </c>
      <c r="W170">
        <f>IF('Dota 2'!$C$6, (Items!C170+Items!E170)*Items!$X$2, (Items!C170+Items!D170)*Items!$X$2)</f>
        <v>0</v>
      </c>
      <c r="X170">
        <f t="shared" si="12"/>
        <v>0</v>
      </c>
      <c r="Y170">
        <f t="shared" si="13"/>
        <v>0</v>
      </c>
      <c r="Z170">
        <f t="shared" si="14"/>
        <v>0</v>
      </c>
      <c r="AA170">
        <f t="shared" si="15"/>
        <v>0</v>
      </c>
      <c r="AB170">
        <f>('Dota 2'!$H$10/$Z$4) * (1-($Y$9*($AA$2+J170))/($Y$7+$Y$9*ABS($AA$2+J170)) - $Z$4)</f>
        <v>0</v>
      </c>
      <c r="AC170">
        <f>IF('Dota 2'!$C$6, K170*M170*(1-$Z$3)*'Dota 2'!$H$8, K170*L170*(1-$Z$3)*'Dota 2'!$H$8)</f>
        <v>0</v>
      </c>
      <c r="AD170">
        <f>N170*O170*'Dota 2'!$H$10</f>
        <v>0</v>
      </c>
      <c r="AE170" s="2">
        <f t="shared" si="16"/>
        <v>0</v>
      </c>
      <c r="AF170" s="17">
        <f t="shared" si="17"/>
        <v>0</v>
      </c>
    </row>
    <row r="171" spans="1:32" x14ac:dyDescent="0.25">
      <c r="A171" s="6">
        <f>[1]Items!$A157</f>
        <v>0</v>
      </c>
      <c r="B171" s="16">
        <f>[1]Items!B157</f>
        <v>0</v>
      </c>
      <c r="C171" s="16">
        <f>[1]Items!C157</f>
        <v>0</v>
      </c>
      <c r="D171" s="16">
        <f>[1]Items!D157</f>
        <v>0</v>
      </c>
      <c r="E171" s="16">
        <f>[1]Items!E157</f>
        <v>0</v>
      </c>
      <c r="F171" s="16">
        <f>[1]Items!F157</f>
        <v>0</v>
      </c>
      <c r="G171" s="16">
        <f>[1]Items!G157</f>
        <v>0</v>
      </c>
      <c r="H171" s="16">
        <f>[1]Items!H157</f>
        <v>0</v>
      </c>
      <c r="I171" s="16">
        <f>[1]Items!I157</f>
        <v>0</v>
      </c>
      <c r="J171" s="16">
        <f>[1]Items!J157</f>
        <v>0</v>
      </c>
      <c r="K171" s="16">
        <f>[1]Items!K157</f>
        <v>0</v>
      </c>
      <c r="L171" s="16">
        <f>[1]Items!L157</f>
        <v>0</v>
      </c>
      <c r="M171" s="16">
        <f>[1]Items!M157</f>
        <v>0</v>
      </c>
      <c r="N171" s="16">
        <f>[1]Items!N157</f>
        <v>0</v>
      </c>
      <c r="O171" s="16">
        <f>[1]Items!O157</f>
        <v>0</v>
      </c>
      <c r="P171" s="16">
        <f>[1]Items!P157</f>
        <v>0</v>
      </c>
      <c r="Q171" s="16">
        <f>[1]Items!Q157</f>
        <v>0</v>
      </c>
      <c r="R171" s="16">
        <f>[1]Items!R157</f>
        <v>0</v>
      </c>
      <c r="S171" s="16">
        <f>[1]Items!S157</f>
        <v>0</v>
      </c>
      <c r="W171">
        <f>IF('Dota 2'!$C$6, (Items!C171+Items!E171)*Items!$X$2, (Items!C171+Items!D171)*Items!$X$2)</f>
        <v>0</v>
      </c>
      <c r="X171">
        <f t="shared" si="12"/>
        <v>0</v>
      </c>
      <c r="Y171">
        <f t="shared" si="13"/>
        <v>0</v>
      </c>
      <c r="Z171">
        <f t="shared" si="14"/>
        <v>0</v>
      </c>
      <c r="AA171">
        <f t="shared" si="15"/>
        <v>0</v>
      </c>
      <c r="AB171">
        <f>('Dota 2'!$H$10/$Z$4) * (1-($Y$9*($AA$2+J171))/($Y$7+$Y$9*ABS($AA$2+J171)) - $Z$4)</f>
        <v>0</v>
      </c>
      <c r="AC171">
        <f>IF('Dota 2'!$C$6, K171*M171*(1-$Z$3)*'Dota 2'!$H$8, K171*L171*(1-$Z$3)*'Dota 2'!$H$8)</f>
        <v>0</v>
      </c>
      <c r="AD171">
        <f>N171*O171*'Dota 2'!$H$10</f>
        <v>0</v>
      </c>
      <c r="AE171" s="2">
        <f t="shared" si="16"/>
        <v>0</v>
      </c>
      <c r="AF171" s="17">
        <f t="shared" si="17"/>
        <v>0</v>
      </c>
    </row>
    <row r="172" spans="1:32" x14ac:dyDescent="0.25">
      <c r="A172" s="6">
        <f>[1]Items!$A158</f>
        <v>0</v>
      </c>
      <c r="B172" s="16">
        <f>[1]Items!B158</f>
        <v>0</v>
      </c>
      <c r="C172" s="16">
        <f>[1]Items!C158</f>
        <v>0</v>
      </c>
      <c r="D172" s="16">
        <f>[1]Items!D158</f>
        <v>0</v>
      </c>
      <c r="E172" s="16">
        <f>[1]Items!E158</f>
        <v>0</v>
      </c>
      <c r="F172" s="16">
        <f>[1]Items!F158</f>
        <v>0</v>
      </c>
      <c r="G172" s="16">
        <f>[1]Items!G158</f>
        <v>0</v>
      </c>
      <c r="H172" s="16">
        <f>[1]Items!H158</f>
        <v>0</v>
      </c>
      <c r="I172" s="16">
        <f>[1]Items!I158</f>
        <v>0</v>
      </c>
      <c r="J172" s="16">
        <f>[1]Items!J158</f>
        <v>0</v>
      </c>
      <c r="K172" s="16">
        <f>[1]Items!K158</f>
        <v>0</v>
      </c>
      <c r="L172" s="16">
        <f>[1]Items!L158</f>
        <v>0</v>
      </c>
      <c r="M172" s="16">
        <f>[1]Items!M158</f>
        <v>0</v>
      </c>
      <c r="N172" s="16">
        <f>[1]Items!N158</f>
        <v>0</v>
      </c>
      <c r="O172" s="16">
        <f>[1]Items!O158</f>
        <v>0</v>
      </c>
      <c r="P172" s="16">
        <f>[1]Items!P158</f>
        <v>0</v>
      </c>
      <c r="Q172" s="16">
        <f>[1]Items!Q158</f>
        <v>0</v>
      </c>
      <c r="R172" s="16">
        <f>[1]Items!R158</f>
        <v>0</v>
      </c>
      <c r="S172" s="16">
        <f>[1]Items!S158</f>
        <v>0</v>
      </c>
      <c r="W172">
        <f>IF('Dota 2'!$C$6, (Items!C172+Items!E172)*Items!$X$2, (Items!C172+Items!D172)*Items!$X$2)</f>
        <v>0</v>
      </c>
      <c r="X172">
        <f t="shared" si="12"/>
        <v>0</v>
      </c>
      <c r="Y172">
        <f t="shared" si="13"/>
        <v>0</v>
      </c>
      <c r="Z172">
        <f t="shared" si="14"/>
        <v>0</v>
      </c>
      <c r="AA172">
        <f t="shared" si="15"/>
        <v>0</v>
      </c>
      <c r="AB172">
        <f>('Dota 2'!$H$10/$Z$4) * (1-($Y$9*($AA$2+J172))/($Y$7+$Y$9*ABS($AA$2+J172)) - $Z$4)</f>
        <v>0</v>
      </c>
      <c r="AC172">
        <f>IF('Dota 2'!$C$6, K172*M172*(1-$Z$3)*'Dota 2'!$H$8, K172*L172*(1-$Z$3)*'Dota 2'!$H$8)</f>
        <v>0</v>
      </c>
      <c r="AD172">
        <f>N172*O172*'Dota 2'!$H$10</f>
        <v>0</v>
      </c>
      <c r="AE172" s="2">
        <f t="shared" si="16"/>
        <v>0</v>
      </c>
      <c r="AF172" s="17">
        <f t="shared" si="17"/>
        <v>0</v>
      </c>
    </row>
    <row r="173" spans="1:32" x14ac:dyDescent="0.25">
      <c r="A173" s="6">
        <f>[1]Items!$A159</f>
        <v>0</v>
      </c>
      <c r="B173" s="16">
        <f>[1]Items!B159</f>
        <v>0</v>
      </c>
      <c r="C173" s="16">
        <f>[1]Items!C159</f>
        <v>0</v>
      </c>
      <c r="D173" s="16">
        <f>[1]Items!D159</f>
        <v>0</v>
      </c>
      <c r="E173" s="16">
        <f>[1]Items!E159</f>
        <v>0</v>
      </c>
      <c r="F173" s="16">
        <f>[1]Items!F159</f>
        <v>0</v>
      </c>
      <c r="G173" s="16">
        <f>[1]Items!G159</f>
        <v>0</v>
      </c>
      <c r="H173" s="16">
        <f>[1]Items!H159</f>
        <v>0</v>
      </c>
      <c r="I173" s="16">
        <f>[1]Items!I159</f>
        <v>0</v>
      </c>
      <c r="J173" s="16">
        <f>[1]Items!J159</f>
        <v>0</v>
      </c>
      <c r="K173" s="16">
        <f>[1]Items!K159</f>
        <v>0</v>
      </c>
      <c r="L173" s="16">
        <f>[1]Items!L159</f>
        <v>0</v>
      </c>
      <c r="M173" s="16">
        <f>[1]Items!M159</f>
        <v>0</v>
      </c>
      <c r="N173" s="16">
        <f>[1]Items!N159</f>
        <v>0</v>
      </c>
      <c r="O173" s="16">
        <f>[1]Items!O159</f>
        <v>0</v>
      </c>
      <c r="P173" s="16">
        <f>[1]Items!P159</f>
        <v>0</v>
      </c>
      <c r="Q173" s="16">
        <f>[1]Items!Q159</f>
        <v>0</v>
      </c>
      <c r="R173" s="16">
        <f>[1]Items!R159</f>
        <v>0</v>
      </c>
      <c r="S173" s="16">
        <f>[1]Items!S159</f>
        <v>0</v>
      </c>
      <c r="W173">
        <f>IF('Dota 2'!$C$6, (Items!C173+Items!E173)*Items!$X$2, (Items!C173+Items!D173)*Items!$X$2)</f>
        <v>0</v>
      </c>
      <c r="X173">
        <f t="shared" si="12"/>
        <v>0</v>
      </c>
      <c r="Y173">
        <f t="shared" si="13"/>
        <v>0</v>
      </c>
      <c r="Z173">
        <f t="shared" si="14"/>
        <v>0</v>
      </c>
      <c r="AA173">
        <f t="shared" si="15"/>
        <v>0</v>
      </c>
      <c r="AB173">
        <f>('Dota 2'!$H$10/$Z$4) * (1-($Y$9*($AA$2+J173))/($Y$7+$Y$9*ABS($AA$2+J173)) - $Z$4)</f>
        <v>0</v>
      </c>
      <c r="AC173">
        <f>IF('Dota 2'!$C$6, K173*M173*(1-$Z$3)*'Dota 2'!$H$8, K173*L173*(1-$Z$3)*'Dota 2'!$H$8)</f>
        <v>0</v>
      </c>
      <c r="AD173">
        <f>N173*O173*'Dota 2'!$H$10</f>
        <v>0</v>
      </c>
      <c r="AE173" s="2">
        <f t="shared" si="16"/>
        <v>0</v>
      </c>
      <c r="AF173" s="17">
        <f t="shared" si="17"/>
        <v>0</v>
      </c>
    </row>
    <row r="174" spans="1:32" x14ac:dyDescent="0.25">
      <c r="A174" s="6">
        <f>[1]Items!$A160</f>
        <v>0</v>
      </c>
      <c r="B174" s="16">
        <f>[1]Items!B160</f>
        <v>0</v>
      </c>
      <c r="C174" s="16">
        <f>[1]Items!C160</f>
        <v>0</v>
      </c>
      <c r="D174" s="16">
        <f>[1]Items!D160</f>
        <v>0</v>
      </c>
      <c r="E174" s="16">
        <f>[1]Items!E160</f>
        <v>0</v>
      </c>
      <c r="F174" s="16">
        <f>[1]Items!F160</f>
        <v>0</v>
      </c>
      <c r="G174" s="16">
        <f>[1]Items!G160</f>
        <v>0</v>
      </c>
      <c r="H174" s="16">
        <f>[1]Items!H160</f>
        <v>0</v>
      </c>
      <c r="I174" s="16">
        <f>[1]Items!I160</f>
        <v>0</v>
      </c>
      <c r="J174" s="16">
        <f>[1]Items!J160</f>
        <v>0</v>
      </c>
      <c r="K174" s="16">
        <f>[1]Items!K160</f>
        <v>0</v>
      </c>
      <c r="L174" s="16">
        <f>[1]Items!L160</f>
        <v>0</v>
      </c>
      <c r="M174" s="16">
        <f>[1]Items!M160</f>
        <v>0</v>
      </c>
      <c r="N174" s="16">
        <f>[1]Items!N160</f>
        <v>0</v>
      </c>
      <c r="O174" s="16">
        <f>[1]Items!O160</f>
        <v>0</v>
      </c>
      <c r="P174" s="16">
        <f>[1]Items!P160</f>
        <v>0</v>
      </c>
      <c r="Q174" s="16">
        <f>[1]Items!Q160</f>
        <v>0</v>
      </c>
      <c r="R174" s="16">
        <f>[1]Items!R160</f>
        <v>0</v>
      </c>
      <c r="S174" s="16">
        <f>[1]Items!S160</f>
        <v>0</v>
      </c>
      <c r="W174">
        <f>IF('Dota 2'!$C$6, (Items!C174+Items!E174)*Items!$X$2, (Items!C174+Items!D174)*Items!$X$2)</f>
        <v>0</v>
      </c>
      <c r="X174">
        <f t="shared" si="12"/>
        <v>0</v>
      </c>
      <c r="Y174">
        <f t="shared" si="13"/>
        <v>0</v>
      </c>
      <c r="Z174">
        <f t="shared" si="14"/>
        <v>0</v>
      </c>
      <c r="AA174">
        <f t="shared" si="15"/>
        <v>0</v>
      </c>
      <c r="AB174">
        <f>('Dota 2'!$H$10/$Z$4) * (1-($Y$9*($AA$2+J174))/($Y$7+$Y$9*ABS($AA$2+J174)) - $Z$4)</f>
        <v>0</v>
      </c>
      <c r="AC174">
        <f>IF('Dota 2'!$C$6, K174*M174*(1-$Z$3)*'Dota 2'!$H$8, K174*L174*(1-$Z$3)*'Dota 2'!$H$8)</f>
        <v>0</v>
      </c>
      <c r="AD174">
        <f>N174*O174*'Dota 2'!$H$10</f>
        <v>0</v>
      </c>
      <c r="AE174" s="2">
        <f t="shared" si="16"/>
        <v>0</v>
      </c>
      <c r="AF174" s="17">
        <f t="shared" si="17"/>
        <v>0</v>
      </c>
    </row>
    <row r="175" spans="1:32" x14ac:dyDescent="0.25">
      <c r="A175" s="6">
        <f>[1]Items!$A161</f>
        <v>0</v>
      </c>
      <c r="B175" s="16">
        <f>[1]Items!B161</f>
        <v>0</v>
      </c>
      <c r="C175" s="16">
        <f>[1]Items!C161</f>
        <v>0</v>
      </c>
      <c r="D175" s="16">
        <f>[1]Items!D161</f>
        <v>0</v>
      </c>
      <c r="E175" s="16">
        <f>[1]Items!E161</f>
        <v>0</v>
      </c>
      <c r="F175" s="16">
        <f>[1]Items!F161</f>
        <v>0</v>
      </c>
      <c r="G175" s="16">
        <f>[1]Items!G161</f>
        <v>0</v>
      </c>
      <c r="H175" s="16">
        <f>[1]Items!H161</f>
        <v>0</v>
      </c>
      <c r="I175" s="16">
        <f>[1]Items!I161</f>
        <v>0</v>
      </c>
      <c r="J175" s="16">
        <f>[1]Items!J161</f>
        <v>0</v>
      </c>
      <c r="K175" s="16">
        <f>[1]Items!K161</f>
        <v>0</v>
      </c>
      <c r="L175" s="16">
        <f>[1]Items!L161</f>
        <v>0</v>
      </c>
      <c r="M175" s="16">
        <f>[1]Items!M161</f>
        <v>0</v>
      </c>
      <c r="N175" s="16">
        <f>[1]Items!N161</f>
        <v>0</v>
      </c>
      <c r="O175" s="16">
        <f>[1]Items!O161</f>
        <v>0</v>
      </c>
      <c r="P175" s="16">
        <f>[1]Items!P161</f>
        <v>0</v>
      </c>
      <c r="Q175" s="16">
        <f>[1]Items!Q161</f>
        <v>0</v>
      </c>
      <c r="R175" s="16">
        <f>[1]Items!R161</f>
        <v>0</v>
      </c>
      <c r="S175" s="16">
        <f>[1]Items!S161</f>
        <v>0</v>
      </c>
      <c r="W175">
        <f>IF('Dota 2'!$C$6, (Items!C175+Items!E175)*Items!$X$2, (Items!C175+Items!D175)*Items!$X$2)</f>
        <v>0</v>
      </c>
      <c r="X175">
        <f t="shared" si="12"/>
        <v>0</v>
      </c>
      <c r="Y175">
        <f t="shared" si="13"/>
        <v>0</v>
      </c>
      <c r="Z175">
        <f t="shared" si="14"/>
        <v>0</v>
      </c>
      <c r="AA175">
        <f t="shared" si="15"/>
        <v>0</v>
      </c>
      <c r="AB175">
        <f>('Dota 2'!$H$10/$Z$4) * (1-($Y$9*($AA$2+J175))/($Y$7+$Y$9*ABS($AA$2+J175)) - $Z$4)</f>
        <v>0</v>
      </c>
      <c r="AC175">
        <f>IF('Dota 2'!$C$6, K175*M175*(1-$Z$3)*'Dota 2'!$H$8, K175*L175*(1-$Z$3)*'Dota 2'!$H$8)</f>
        <v>0</v>
      </c>
      <c r="AD175">
        <f>N175*O175*'Dota 2'!$H$10</f>
        <v>0</v>
      </c>
      <c r="AE175" s="2">
        <f t="shared" si="16"/>
        <v>0</v>
      </c>
      <c r="AF175" s="17">
        <f t="shared" si="17"/>
        <v>0</v>
      </c>
    </row>
    <row r="176" spans="1:32" x14ac:dyDescent="0.25">
      <c r="A176" s="6">
        <f>[1]Items!$A162</f>
        <v>0</v>
      </c>
      <c r="B176" s="16">
        <f>[1]Items!B162</f>
        <v>0</v>
      </c>
      <c r="C176" s="16">
        <f>[1]Items!C162</f>
        <v>0</v>
      </c>
      <c r="D176" s="16">
        <f>[1]Items!D162</f>
        <v>0</v>
      </c>
      <c r="E176" s="16">
        <f>[1]Items!E162</f>
        <v>0</v>
      </c>
      <c r="F176" s="16">
        <f>[1]Items!F162</f>
        <v>0</v>
      </c>
      <c r="G176" s="16">
        <f>[1]Items!G162</f>
        <v>0</v>
      </c>
      <c r="H176" s="16">
        <f>[1]Items!H162</f>
        <v>0</v>
      </c>
      <c r="I176" s="16">
        <f>[1]Items!I162</f>
        <v>0</v>
      </c>
      <c r="J176" s="16">
        <f>[1]Items!J162</f>
        <v>0</v>
      </c>
      <c r="K176" s="16">
        <f>[1]Items!K162</f>
        <v>0</v>
      </c>
      <c r="L176" s="16">
        <f>[1]Items!L162</f>
        <v>0</v>
      </c>
      <c r="M176" s="16">
        <f>[1]Items!M162</f>
        <v>0</v>
      </c>
      <c r="N176" s="16">
        <f>[1]Items!N162</f>
        <v>0</v>
      </c>
      <c r="O176" s="16">
        <f>[1]Items!O162</f>
        <v>0</v>
      </c>
      <c r="P176" s="16">
        <f>[1]Items!P162</f>
        <v>0</v>
      </c>
      <c r="Q176" s="16">
        <f>[1]Items!Q162</f>
        <v>0</v>
      </c>
      <c r="R176" s="16">
        <f>[1]Items!R162</f>
        <v>0</v>
      </c>
      <c r="S176" s="16">
        <f>[1]Items!S162</f>
        <v>0</v>
      </c>
      <c r="W176">
        <f>IF('Dota 2'!$C$6, (Items!C176+Items!E176)*Items!$X$2, (Items!C176+Items!D176)*Items!$X$2)</f>
        <v>0</v>
      </c>
      <c r="X176">
        <f t="shared" si="12"/>
        <v>0</v>
      </c>
      <c r="Y176">
        <f t="shared" si="13"/>
        <v>0</v>
      </c>
      <c r="Z176">
        <f t="shared" si="14"/>
        <v>0</v>
      </c>
      <c r="AA176">
        <f t="shared" si="15"/>
        <v>0</v>
      </c>
      <c r="AB176">
        <f>('Dota 2'!$H$10/$Z$4) * (1-($Y$9*($AA$2+J176))/($Y$7+$Y$9*ABS($AA$2+J176)) - $Z$4)</f>
        <v>0</v>
      </c>
      <c r="AC176">
        <f>IF('Dota 2'!$C$6, K176*M176*(1-$Z$3)*'Dota 2'!$H$8, K176*L176*(1-$Z$3)*'Dota 2'!$H$8)</f>
        <v>0</v>
      </c>
      <c r="AD176">
        <f>N176*O176*'Dota 2'!$H$10</f>
        <v>0</v>
      </c>
      <c r="AE176" s="2">
        <f t="shared" si="16"/>
        <v>0</v>
      </c>
      <c r="AF176" s="17">
        <f t="shared" si="17"/>
        <v>0</v>
      </c>
    </row>
    <row r="177" spans="1:32" x14ac:dyDescent="0.25">
      <c r="A177" s="6">
        <f>[1]Items!$A163</f>
        <v>0</v>
      </c>
      <c r="B177" s="16">
        <f>[1]Items!B163</f>
        <v>0</v>
      </c>
      <c r="C177" s="16">
        <f>[1]Items!C163</f>
        <v>0</v>
      </c>
      <c r="D177" s="16">
        <f>[1]Items!D163</f>
        <v>0</v>
      </c>
      <c r="E177" s="16">
        <f>[1]Items!E163</f>
        <v>0</v>
      </c>
      <c r="F177" s="16">
        <f>[1]Items!F163</f>
        <v>0</v>
      </c>
      <c r="G177" s="16">
        <f>[1]Items!G163</f>
        <v>0</v>
      </c>
      <c r="H177" s="16">
        <f>[1]Items!H163</f>
        <v>0</v>
      </c>
      <c r="I177" s="16">
        <f>[1]Items!I163</f>
        <v>0</v>
      </c>
      <c r="J177" s="16">
        <f>[1]Items!J163</f>
        <v>0</v>
      </c>
      <c r="K177" s="16">
        <f>[1]Items!K163</f>
        <v>0</v>
      </c>
      <c r="L177" s="16">
        <f>[1]Items!L163</f>
        <v>0</v>
      </c>
      <c r="M177" s="16">
        <f>[1]Items!M163</f>
        <v>0</v>
      </c>
      <c r="N177" s="16">
        <f>[1]Items!N163</f>
        <v>0</v>
      </c>
      <c r="O177" s="16">
        <f>[1]Items!O163</f>
        <v>0</v>
      </c>
      <c r="P177" s="16">
        <f>[1]Items!P163</f>
        <v>0</v>
      </c>
      <c r="Q177" s="16">
        <f>[1]Items!Q163</f>
        <v>0</v>
      </c>
      <c r="R177" s="16">
        <f>[1]Items!R163</f>
        <v>0</v>
      </c>
      <c r="S177" s="16">
        <f>[1]Items!S163</f>
        <v>0</v>
      </c>
      <c r="W177">
        <f>IF('Dota 2'!$C$6, (Items!C177+Items!E177)*Items!$X$2, (Items!C177+Items!D177)*Items!$X$2)</f>
        <v>0</v>
      </c>
      <c r="X177">
        <f t="shared" si="12"/>
        <v>0</v>
      </c>
      <c r="Y177">
        <f t="shared" si="13"/>
        <v>0</v>
      </c>
      <c r="Z177">
        <f t="shared" si="14"/>
        <v>0</v>
      </c>
      <c r="AA177">
        <f t="shared" si="15"/>
        <v>0</v>
      </c>
      <c r="AB177">
        <f>('Dota 2'!$H$10/$Z$4) * (1-($Y$9*($AA$2+J177))/($Y$7+$Y$9*ABS($AA$2+J177)) - $Z$4)</f>
        <v>0</v>
      </c>
      <c r="AC177">
        <f>IF('Dota 2'!$C$6, K177*M177*(1-$Z$3)*'Dota 2'!$H$8, K177*L177*(1-$Z$3)*'Dota 2'!$H$8)</f>
        <v>0</v>
      </c>
      <c r="AD177">
        <f>N177*O177*'Dota 2'!$H$10</f>
        <v>0</v>
      </c>
      <c r="AE177" s="2">
        <f t="shared" si="16"/>
        <v>0</v>
      </c>
      <c r="AF177" s="17">
        <f t="shared" si="17"/>
        <v>0</v>
      </c>
    </row>
    <row r="178" spans="1:32" x14ac:dyDescent="0.25">
      <c r="A178" s="6">
        <f>[1]Items!$A164</f>
        <v>0</v>
      </c>
      <c r="B178" s="16">
        <f>[1]Items!B164</f>
        <v>0</v>
      </c>
      <c r="C178" s="16">
        <f>[1]Items!C164</f>
        <v>0</v>
      </c>
      <c r="D178" s="16">
        <f>[1]Items!D164</f>
        <v>0</v>
      </c>
      <c r="E178" s="16">
        <f>[1]Items!E164</f>
        <v>0</v>
      </c>
      <c r="F178" s="16">
        <f>[1]Items!F164</f>
        <v>0</v>
      </c>
      <c r="G178" s="16">
        <f>[1]Items!G164</f>
        <v>0</v>
      </c>
      <c r="H178" s="16">
        <f>[1]Items!H164</f>
        <v>0</v>
      </c>
      <c r="I178" s="16">
        <f>[1]Items!I164</f>
        <v>0</v>
      </c>
      <c r="J178" s="16">
        <f>[1]Items!J164</f>
        <v>0</v>
      </c>
      <c r="K178" s="16">
        <f>[1]Items!K164</f>
        <v>0</v>
      </c>
      <c r="L178" s="16">
        <f>[1]Items!L164</f>
        <v>0</v>
      </c>
      <c r="M178" s="16">
        <f>[1]Items!M164</f>
        <v>0</v>
      </c>
      <c r="N178" s="16">
        <f>[1]Items!N164</f>
        <v>0</v>
      </c>
      <c r="O178" s="16">
        <f>[1]Items!O164</f>
        <v>0</v>
      </c>
      <c r="P178" s="16">
        <f>[1]Items!P164</f>
        <v>0</v>
      </c>
      <c r="Q178" s="16">
        <f>[1]Items!Q164</f>
        <v>0</v>
      </c>
      <c r="R178" s="16">
        <f>[1]Items!R164</f>
        <v>0</v>
      </c>
      <c r="S178" s="16">
        <f>[1]Items!S164</f>
        <v>0</v>
      </c>
      <c r="W178">
        <f>IF('Dota 2'!$C$6, (Items!C178+Items!E178)*Items!$X$2, (Items!C178+Items!D178)*Items!$X$2)</f>
        <v>0</v>
      </c>
      <c r="X178">
        <f t="shared" si="12"/>
        <v>0</v>
      </c>
      <c r="Y178">
        <f t="shared" si="13"/>
        <v>0</v>
      </c>
      <c r="Z178">
        <f t="shared" si="14"/>
        <v>0</v>
      </c>
      <c r="AA178">
        <f t="shared" si="15"/>
        <v>0</v>
      </c>
      <c r="AB178">
        <f>('Dota 2'!$H$10/$Z$4) * (1-($Y$9*($AA$2+J178))/($Y$7+$Y$9*ABS($AA$2+J178)) - $Z$4)</f>
        <v>0</v>
      </c>
      <c r="AC178">
        <f>IF('Dota 2'!$C$6, K178*M178*(1-$Z$3)*'Dota 2'!$H$8, K178*L178*(1-$Z$3)*'Dota 2'!$H$8)</f>
        <v>0</v>
      </c>
      <c r="AD178">
        <f>N178*O178*'Dota 2'!$H$10</f>
        <v>0</v>
      </c>
      <c r="AE178" s="2">
        <f t="shared" si="16"/>
        <v>0</v>
      </c>
      <c r="AF178" s="17">
        <f t="shared" si="17"/>
        <v>0</v>
      </c>
    </row>
    <row r="179" spans="1:32" x14ac:dyDescent="0.25">
      <c r="A179" s="6">
        <f>[1]Items!$A165</f>
        <v>0</v>
      </c>
      <c r="B179" s="16">
        <f>[1]Items!B165</f>
        <v>0</v>
      </c>
      <c r="C179" s="16">
        <f>[1]Items!C165</f>
        <v>0</v>
      </c>
      <c r="D179" s="16">
        <f>[1]Items!D165</f>
        <v>0</v>
      </c>
      <c r="E179" s="16">
        <f>[1]Items!E165</f>
        <v>0</v>
      </c>
      <c r="F179" s="16">
        <f>[1]Items!F165</f>
        <v>0</v>
      </c>
      <c r="G179" s="16">
        <f>[1]Items!G165</f>
        <v>0</v>
      </c>
      <c r="H179" s="16">
        <f>[1]Items!H165</f>
        <v>0</v>
      </c>
      <c r="I179" s="16">
        <f>[1]Items!I165</f>
        <v>0</v>
      </c>
      <c r="J179" s="16">
        <f>[1]Items!J165</f>
        <v>0</v>
      </c>
      <c r="K179" s="16">
        <f>[1]Items!K165</f>
        <v>0</v>
      </c>
      <c r="L179" s="16">
        <f>[1]Items!L165</f>
        <v>0</v>
      </c>
      <c r="M179" s="16">
        <f>[1]Items!M165</f>
        <v>0</v>
      </c>
      <c r="N179" s="16">
        <f>[1]Items!N165</f>
        <v>0</v>
      </c>
      <c r="O179" s="16">
        <f>[1]Items!O165</f>
        <v>0</v>
      </c>
      <c r="P179" s="16">
        <f>[1]Items!P165</f>
        <v>0</v>
      </c>
      <c r="Q179" s="16">
        <f>[1]Items!Q165</f>
        <v>0</v>
      </c>
      <c r="R179" s="16">
        <f>[1]Items!R165</f>
        <v>0</v>
      </c>
      <c r="S179" s="16">
        <f>[1]Items!S165</f>
        <v>0</v>
      </c>
      <c r="W179">
        <f>IF('Dota 2'!$C$6, (Items!C179+Items!E179)*Items!$X$2, (Items!C179+Items!D179)*Items!$X$2)</f>
        <v>0</v>
      </c>
      <c r="X179">
        <f t="shared" si="12"/>
        <v>0</v>
      </c>
      <c r="Y179">
        <f t="shared" si="13"/>
        <v>0</v>
      </c>
      <c r="Z179">
        <f t="shared" si="14"/>
        <v>0</v>
      </c>
      <c r="AA179">
        <f t="shared" si="15"/>
        <v>0</v>
      </c>
      <c r="AB179">
        <f>('Dota 2'!$H$10/$Z$4) * (1-($Y$9*($AA$2+J179))/($Y$7+$Y$9*ABS($AA$2+J179)) - $Z$4)</f>
        <v>0</v>
      </c>
      <c r="AC179">
        <f>IF('Dota 2'!$C$6, K179*M179*(1-$Z$3)*'Dota 2'!$H$8, K179*L179*(1-$Z$3)*'Dota 2'!$H$8)</f>
        <v>0</v>
      </c>
      <c r="AD179">
        <f>N179*O179*'Dota 2'!$H$10</f>
        <v>0</v>
      </c>
      <c r="AE179" s="2">
        <f t="shared" si="16"/>
        <v>0</v>
      </c>
      <c r="AF179" s="17">
        <f t="shared" si="17"/>
        <v>0</v>
      </c>
    </row>
    <row r="180" spans="1:32" x14ac:dyDescent="0.25">
      <c r="A180" s="6">
        <f>[1]Items!$A166</f>
        <v>0</v>
      </c>
      <c r="B180" s="16">
        <f>[1]Items!B166</f>
        <v>0</v>
      </c>
      <c r="C180" s="16">
        <f>[1]Items!C166</f>
        <v>0</v>
      </c>
      <c r="D180" s="16">
        <f>[1]Items!D166</f>
        <v>0</v>
      </c>
      <c r="E180" s="16">
        <f>[1]Items!E166</f>
        <v>0</v>
      </c>
      <c r="F180" s="16">
        <f>[1]Items!F166</f>
        <v>0</v>
      </c>
      <c r="G180" s="16">
        <f>[1]Items!G166</f>
        <v>0</v>
      </c>
      <c r="H180" s="16">
        <f>[1]Items!H166</f>
        <v>0</v>
      </c>
      <c r="I180" s="16">
        <f>[1]Items!I166</f>
        <v>0</v>
      </c>
      <c r="J180" s="16">
        <f>[1]Items!J166</f>
        <v>0</v>
      </c>
      <c r="K180" s="16">
        <f>[1]Items!K166</f>
        <v>0</v>
      </c>
      <c r="L180" s="16">
        <f>[1]Items!L166</f>
        <v>0</v>
      </c>
      <c r="M180" s="16">
        <f>[1]Items!M166</f>
        <v>0</v>
      </c>
      <c r="N180" s="16">
        <f>[1]Items!N166</f>
        <v>0</v>
      </c>
      <c r="O180" s="16">
        <f>[1]Items!O166</f>
        <v>0</v>
      </c>
      <c r="P180" s="16">
        <f>[1]Items!P166</f>
        <v>0</v>
      </c>
      <c r="Q180" s="16">
        <f>[1]Items!Q166</f>
        <v>0</v>
      </c>
      <c r="R180" s="16">
        <f>[1]Items!R166</f>
        <v>0</v>
      </c>
      <c r="S180" s="16">
        <f>[1]Items!S166</f>
        <v>0</v>
      </c>
      <c r="W180">
        <f>IF('Dota 2'!$C$6, (Items!C180+Items!E180)*Items!$X$2, (Items!C180+Items!D180)*Items!$X$2)</f>
        <v>0</v>
      </c>
      <c r="X180">
        <f t="shared" si="12"/>
        <v>0</v>
      </c>
      <c r="Y180">
        <f t="shared" si="13"/>
        <v>0</v>
      </c>
      <c r="Z180">
        <f t="shared" si="14"/>
        <v>0</v>
      </c>
      <c r="AA180">
        <f t="shared" si="15"/>
        <v>0</v>
      </c>
      <c r="AB180">
        <f>('Dota 2'!$H$10/$Z$4) * (1-($Y$9*($AA$2+J180))/($Y$7+$Y$9*ABS($AA$2+J180)) - $Z$4)</f>
        <v>0</v>
      </c>
      <c r="AC180">
        <f>IF('Dota 2'!$C$6, K180*M180*(1-$Z$3)*'Dota 2'!$H$8, K180*L180*(1-$Z$3)*'Dota 2'!$H$8)</f>
        <v>0</v>
      </c>
      <c r="AD180">
        <f>N180*O180*'Dota 2'!$H$10</f>
        <v>0</v>
      </c>
      <c r="AE180" s="2">
        <f t="shared" si="16"/>
        <v>0</v>
      </c>
      <c r="AF180" s="17">
        <f t="shared" si="17"/>
        <v>0</v>
      </c>
    </row>
    <row r="181" spans="1:32" x14ac:dyDescent="0.25">
      <c r="A181" s="6">
        <f>[1]Items!$A167</f>
        <v>0</v>
      </c>
      <c r="B181" s="16">
        <f>[1]Items!B167</f>
        <v>0</v>
      </c>
      <c r="C181" s="16">
        <f>[1]Items!C167</f>
        <v>0</v>
      </c>
      <c r="D181" s="16">
        <f>[1]Items!D167</f>
        <v>0</v>
      </c>
      <c r="E181" s="16">
        <f>[1]Items!E167</f>
        <v>0</v>
      </c>
      <c r="F181" s="16">
        <f>[1]Items!F167</f>
        <v>0</v>
      </c>
      <c r="G181" s="16">
        <f>[1]Items!G167</f>
        <v>0</v>
      </c>
      <c r="H181" s="16">
        <f>[1]Items!H167</f>
        <v>0</v>
      </c>
      <c r="I181" s="16">
        <f>[1]Items!I167</f>
        <v>0</v>
      </c>
      <c r="J181" s="16">
        <f>[1]Items!J167</f>
        <v>0</v>
      </c>
      <c r="K181" s="16">
        <f>[1]Items!K167</f>
        <v>0</v>
      </c>
      <c r="L181" s="16">
        <f>[1]Items!L167</f>
        <v>0</v>
      </c>
      <c r="M181" s="16">
        <f>[1]Items!M167</f>
        <v>0</v>
      </c>
      <c r="N181" s="16">
        <f>[1]Items!N167</f>
        <v>0</v>
      </c>
      <c r="O181" s="16">
        <f>[1]Items!O167</f>
        <v>0</v>
      </c>
      <c r="P181" s="16">
        <f>[1]Items!P167</f>
        <v>0</v>
      </c>
      <c r="Q181" s="16">
        <f>[1]Items!Q167</f>
        <v>0</v>
      </c>
      <c r="R181" s="16">
        <f>[1]Items!R167</f>
        <v>0</v>
      </c>
      <c r="S181" s="16">
        <f>[1]Items!S167</f>
        <v>0</v>
      </c>
      <c r="W181">
        <f>IF('Dota 2'!$C$6, (Items!C181+Items!E181)*Items!$X$2, (Items!C181+Items!D181)*Items!$X$2)</f>
        <v>0</v>
      </c>
      <c r="X181">
        <f t="shared" si="12"/>
        <v>0</v>
      </c>
      <c r="Y181">
        <f t="shared" si="13"/>
        <v>0</v>
      </c>
      <c r="Z181">
        <f t="shared" si="14"/>
        <v>0</v>
      </c>
      <c r="AA181">
        <f t="shared" si="15"/>
        <v>0</v>
      </c>
      <c r="AB181">
        <f>('Dota 2'!$H$10/$Z$4) * (1-($Y$9*($AA$2+J181))/($Y$7+$Y$9*ABS($AA$2+J181)) - $Z$4)</f>
        <v>0</v>
      </c>
      <c r="AC181">
        <f>IF('Dota 2'!$C$6, K181*M181*(1-$Z$3)*'Dota 2'!$H$8, K181*L181*(1-$Z$3)*'Dota 2'!$H$8)</f>
        <v>0</v>
      </c>
      <c r="AD181">
        <f>N181*O181*'Dota 2'!$H$10</f>
        <v>0</v>
      </c>
      <c r="AE181" s="2">
        <f t="shared" si="16"/>
        <v>0</v>
      </c>
      <c r="AF181" s="17">
        <f t="shared" si="17"/>
        <v>0</v>
      </c>
    </row>
    <row r="182" spans="1:32" x14ac:dyDescent="0.25">
      <c r="A182" s="6">
        <f>[1]Items!$A168</f>
        <v>0</v>
      </c>
      <c r="B182" s="16">
        <f>[1]Items!B168</f>
        <v>0</v>
      </c>
      <c r="C182" s="16">
        <f>[1]Items!C168</f>
        <v>0</v>
      </c>
      <c r="D182" s="16">
        <f>[1]Items!D168</f>
        <v>0</v>
      </c>
      <c r="E182" s="16">
        <f>[1]Items!E168</f>
        <v>0</v>
      </c>
      <c r="F182" s="16">
        <f>[1]Items!F168</f>
        <v>0</v>
      </c>
      <c r="G182" s="16">
        <f>[1]Items!G168</f>
        <v>0</v>
      </c>
      <c r="H182" s="16">
        <f>[1]Items!H168</f>
        <v>0</v>
      </c>
      <c r="I182" s="16">
        <f>[1]Items!I168</f>
        <v>0</v>
      </c>
      <c r="J182" s="16">
        <f>[1]Items!J168</f>
        <v>0</v>
      </c>
      <c r="K182" s="16">
        <f>[1]Items!K168</f>
        <v>0</v>
      </c>
      <c r="L182" s="16">
        <f>[1]Items!L168</f>
        <v>0</v>
      </c>
      <c r="M182" s="16">
        <f>[1]Items!M168</f>
        <v>0</v>
      </c>
      <c r="N182" s="16">
        <f>[1]Items!N168</f>
        <v>0</v>
      </c>
      <c r="O182" s="16">
        <f>[1]Items!O168</f>
        <v>0</v>
      </c>
      <c r="P182" s="16">
        <f>[1]Items!P168</f>
        <v>0</v>
      </c>
      <c r="Q182" s="16">
        <f>[1]Items!Q168</f>
        <v>0</v>
      </c>
      <c r="R182" s="16">
        <f>[1]Items!R168</f>
        <v>0</v>
      </c>
      <c r="S182" s="16">
        <f>[1]Items!S168</f>
        <v>0</v>
      </c>
      <c r="W182">
        <f>IF('Dota 2'!$C$6, (Items!C182+Items!E182)*Items!$X$2, (Items!C182+Items!D182)*Items!$X$2)</f>
        <v>0</v>
      </c>
      <c r="X182">
        <f t="shared" si="12"/>
        <v>0</v>
      </c>
      <c r="Y182">
        <f t="shared" si="13"/>
        <v>0</v>
      </c>
      <c r="Z182">
        <f t="shared" si="14"/>
        <v>0</v>
      </c>
      <c r="AA182">
        <f t="shared" si="15"/>
        <v>0</v>
      </c>
      <c r="AB182">
        <f>('Dota 2'!$H$10/$Z$4) * (1-($Y$9*($AA$2+J182))/($Y$7+$Y$9*ABS($AA$2+J182)) - $Z$4)</f>
        <v>0</v>
      </c>
      <c r="AC182">
        <f>IF('Dota 2'!$C$6, K182*M182*(1-$Z$3)*'Dota 2'!$H$8, K182*L182*(1-$Z$3)*'Dota 2'!$H$8)</f>
        <v>0</v>
      </c>
      <c r="AD182">
        <f>N182*O182*'Dota 2'!$H$10</f>
        <v>0</v>
      </c>
      <c r="AE182" s="2">
        <f t="shared" si="16"/>
        <v>0</v>
      </c>
      <c r="AF182" s="17">
        <f t="shared" si="17"/>
        <v>0</v>
      </c>
    </row>
    <row r="183" spans="1:32" x14ac:dyDescent="0.25">
      <c r="A183" s="6">
        <f>[1]Items!$A169</f>
        <v>0</v>
      </c>
      <c r="B183" s="16">
        <f>[1]Items!B169</f>
        <v>0</v>
      </c>
      <c r="C183" s="16">
        <f>[1]Items!C169</f>
        <v>0</v>
      </c>
      <c r="D183" s="16">
        <f>[1]Items!D169</f>
        <v>0</v>
      </c>
      <c r="E183" s="16">
        <f>[1]Items!E169</f>
        <v>0</v>
      </c>
      <c r="F183" s="16">
        <f>[1]Items!F169</f>
        <v>0</v>
      </c>
      <c r="G183" s="16">
        <f>[1]Items!G169</f>
        <v>0</v>
      </c>
      <c r="H183" s="16">
        <f>[1]Items!H169</f>
        <v>0</v>
      </c>
      <c r="I183" s="16">
        <f>[1]Items!I169</f>
        <v>0</v>
      </c>
      <c r="J183" s="16">
        <f>[1]Items!J169</f>
        <v>0</v>
      </c>
      <c r="K183" s="16">
        <f>[1]Items!K169</f>
        <v>0</v>
      </c>
      <c r="L183" s="16">
        <f>[1]Items!L169</f>
        <v>0</v>
      </c>
      <c r="M183" s="16">
        <f>[1]Items!M169</f>
        <v>0</v>
      </c>
      <c r="N183" s="16">
        <f>[1]Items!N169</f>
        <v>0</v>
      </c>
      <c r="O183" s="16">
        <f>[1]Items!O169</f>
        <v>0</v>
      </c>
      <c r="P183" s="16">
        <f>[1]Items!P169</f>
        <v>0</v>
      </c>
      <c r="Q183" s="16">
        <f>[1]Items!Q169</f>
        <v>0</v>
      </c>
      <c r="R183" s="16">
        <f>[1]Items!R169</f>
        <v>0</v>
      </c>
      <c r="S183" s="16">
        <f>[1]Items!S169</f>
        <v>0</v>
      </c>
      <c r="W183">
        <f>IF('Dota 2'!$C$6, (Items!C183+Items!E183)*Items!$X$2, (Items!C183+Items!D183)*Items!$X$2)</f>
        <v>0</v>
      </c>
      <c r="X183">
        <f t="shared" si="12"/>
        <v>0</v>
      </c>
      <c r="Y183">
        <f t="shared" si="13"/>
        <v>0</v>
      </c>
      <c r="Z183">
        <f t="shared" si="14"/>
        <v>0</v>
      </c>
      <c r="AA183">
        <f t="shared" si="15"/>
        <v>0</v>
      </c>
      <c r="AB183">
        <f>('Dota 2'!$H$10/$Z$4) * (1-($Y$9*($AA$2+J183))/($Y$7+$Y$9*ABS($AA$2+J183)) - $Z$4)</f>
        <v>0</v>
      </c>
      <c r="AC183">
        <f>IF('Dota 2'!$C$6, K183*M183*(1-$Z$3)*'Dota 2'!$H$8, K183*L183*(1-$Z$3)*'Dota 2'!$H$8)</f>
        <v>0</v>
      </c>
      <c r="AD183">
        <f>N183*O183*'Dota 2'!$H$10</f>
        <v>0</v>
      </c>
      <c r="AE183" s="2">
        <f t="shared" si="16"/>
        <v>0</v>
      </c>
      <c r="AF183" s="17">
        <f t="shared" si="17"/>
        <v>0</v>
      </c>
    </row>
    <row r="184" spans="1:32" x14ac:dyDescent="0.25">
      <c r="A184" s="6">
        <f>[1]Items!$A170</f>
        <v>0</v>
      </c>
      <c r="B184" s="16">
        <f>[1]Items!B170</f>
        <v>0</v>
      </c>
      <c r="C184" s="16">
        <f>[1]Items!C170</f>
        <v>0</v>
      </c>
      <c r="D184" s="16">
        <f>[1]Items!D170</f>
        <v>0</v>
      </c>
      <c r="E184" s="16">
        <f>[1]Items!E170</f>
        <v>0</v>
      </c>
      <c r="F184" s="16">
        <f>[1]Items!F170</f>
        <v>0</v>
      </c>
      <c r="G184" s="16">
        <f>[1]Items!G170</f>
        <v>0</v>
      </c>
      <c r="H184" s="16">
        <f>[1]Items!H170</f>
        <v>0</v>
      </c>
      <c r="I184" s="16">
        <f>[1]Items!I170</f>
        <v>0</v>
      </c>
      <c r="J184" s="16">
        <f>[1]Items!J170</f>
        <v>0</v>
      </c>
      <c r="K184" s="16">
        <f>[1]Items!K170</f>
        <v>0</v>
      </c>
      <c r="L184" s="16">
        <f>[1]Items!L170</f>
        <v>0</v>
      </c>
      <c r="M184" s="16">
        <f>[1]Items!M170</f>
        <v>0</v>
      </c>
      <c r="N184" s="16">
        <f>[1]Items!N170</f>
        <v>0</v>
      </c>
      <c r="O184" s="16">
        <f>[1]Items!O170</f>
        <v>0</v>
      </c>
      <c r="P184" s="16">
        <f>[1]Items!P170</f>
        <v>0</v>
      </c>
      <c r="Q184" s="16">
        <f>[1]Items!Q170</f>
        <v>0</v>
      </c>
      <c r="R184" s="16">
        <f>[1]Items!R170</f>
        <v>0</v>
      </c>
      <c r="S184" s="16">
        <f>[1]Items!S170</f>
        <v>0</v>
      </c>
      <c r="W184">
        <f>IF('Dota 2'!$C$6, (Items!C184+Items!E184)*Items!$X$2, (Items!C184+Items!D184)*Items!$X$2)</f>
        <v>0</v>
      </c>
      <c r="X184">
        <f t="shared" si="12"/>
        <v>0</v>
      </c>
      <c r="Y184">
        <f t="shared" si="13"/>
        <v>0</v>
      </c>
      <c r="Z184">
        <f t="shared" si="14"/>
        <v>0</v>
      </c>
      <c r="AA184">
        <f t="shared" si="15"/>
        <v>0</v>
      </c>
      <c r="AB184">
        <f>('Dota 2'!$H$10/$Z$4) * (1-($Y$9*($AA$2+J184))/($Y$7+$Y$9*ABS($AA$2+J184)) - $Z$4)</f>
        <v>0</v>
      </c>
      <c r="AC184">
        <f>IF('Dota 2'!$C$6, K184*M184*(1-$Z$3)*'Dota 2'!$H$8, K184*L184*(1-$Z$3)*'Dota 2'!$H$8)</f>
        <v>0</v>
      </c>
      <c r="AD184">
        <f>N184*O184*'Dota 2'!$H$10</f>
        <v>0</v>
      </c>
      <c r="AE184" s="2">
        <f t="shared" si="16"/>
        <v>0</v>
      </c>
      <c r="AF184" s="17">
        <f t="shared" si="17"/>
        <v>0</v>
      </c>
    </row>
    <row r="185" spans="1:32" x14ac:dyDescent="0.25">
      <c r="A185" s="6">
        <f>[1]Items!$A171</f>
        <v>0</v>
      </c>
      <c r="B185" s="16">
        <f>[1]Items!B171</f>
        <v>0</v>
      </c>
      <c r="C185" s="16">
        <f>[1]Items!C171</f>
        <v>0</v>
      </c>
      <c r="D185" s="16">
        <f>[1]Items!D171</f>
        <v>0</v>
      </c>
      <c r="E185" s="16">
        <f>[1]Items!E171</f>
        <v>0</v>
      </c>
      <c r="F185" s="16">
        <f>[1]Items!F171</f>
        <v>0</v>
      </c>
      <c r="G185" s="16">
        <f>[1]Items!G171</f>
        <v>0</v>
      </c>
      <c r="H185" s="16">
        <f>[1]Items!H171</f>
        <v>0</v>
      </c>
      <c r="I185" s="16">
        <f>[1]Items!I171</f>
        <v>0</v>
      </c>
      <c r="J185" s="16">
        <f>[1]Items!J171</f>
        <v>0</v>
      </c>
      <c r="K185" s="16">
        <f>[1]Items!K171</f>
        <v>0</v>
      </c>
      <c r="L185" s="16">
        <f>[1]Items!L171</f>
        <v>0</v>
      </c>
      <c r="M185" s="16">
        <f>[1]Items!M171</f>
        <v>0</v>
      </c>
      <c r="N185" s="16">
        <f>[1]Items!N171</f>
        <v>0</v>
      </c>
      <c r="O185" s="16">
        <f>[1]Items!O171</f>
        <v>0</v>
      </c>
      <c r="P185" s="16">
        <f>[1]Items!P171</f>
        <v>0</v>
      </c>
      <c r="Q185" s="16">
        <f>[1]Items!Q171</f>
        <v>0</v>
      </c>
      <c r="R185" s="16">
        <f>[1]Items!R171</f>
        <v>0</v>
      </c>
      <c r="S185" s="16">
        <f>[1]Items!S171</f>
        <v>0</v>
      </c>
      <c r="W185">
        <f>IF('Dota 2'!$C$6, (Items!C185+Items!E185)*Items!$X$2, (Items!C185+Items!D185)*Items!$X$2)</f>
        <v>0</v>
      </c>
      <c r="X185">
        <f t="shared" si="12"/>
        <v>0</v>
      </c>
      <c r="Y185">
        <f t="shared" si="13"/>
        <v>0</v>
      </c>
      <c r="Z185">
        <f t="shared" si="14"/>
        <v>0</v>
      </c>
      <c r="AA185">
        <f t="shared" si="15"/>
        <v>0</v>
      </c>
      <c r="AB185">
        <f>('Dota 2'!$H$10/$Z$4) * (1-($Y$9*($AA$2+J185))/($Y$7+$Y$9*ABS($AA$2+J185)) - $Z$4)</f>
        <v>0</v>
      </c>
      <c r="AC185">
        <f>IF('Dota 2'!$C$6, K185*M185*(1-$Z$3)*'Dota 2'!$H$8, K185*L185*(1-$Z$3)*'Dota 2'!$H$8)</f>
        <v>0</v>
      </c>
      <c r="AD185">
        <f>N185*O185*'Dota 2'!$H$10</f>
        <v>0</v>
      </c>
      <c r="AE185" s="2">
        <f t="shared" si="16"/>
        <v>0</v>
      </c>
      <c r="AF185" s="17">
        <f t="shared" si="17"/>
        <v>0</v>
      </c>
    </row>
    <row r="186" spans="1:32" x14ac:dyDescent="0.25">
      <c r="A186" s="6">
        <f>[1]Items!$A172</f>
        <v>0</v>
      </c>
      <c r="B186" s="16">
        <f>[1]Items!B172</f>
        <v>0</v>
      </c>
      <c r="C186" s="16">
        <f>[1]Items!C172</f>
        <v>0</v>
      </c>
      <c r="D186" s="16">
        <f>[1]Items!D172</f>
        <v>0</v>
      </c>
      <c r="E186" s="16">
        <f>[1]Items!E172</f>
        <v>0</v>
      </c>
      <c r="F186" s="16">
        <f>[1]Items!F172</f>
        <v>0</v>
      </c>
      <c r="G186" s="16">
        <f>[1]Items!G172</f>
        <v>0</v>
      </c>
      <c r="H186" s="16">
        <f>[1]Items!H172</f>
        <v>0</v>
      </c>
      <c r="I186" s="16">
        <f>[1]Items!I172</f>
        <v>0</v>
      </c>
      <c r="J186" s="16">
        <f>[1]Items!J172</f>
        <v>0</v>
      </c>
      <c r="K186" s="16">
        <f>[1]Items!K172</f>
        <v>0</v>
      </c>
      <c r="L186" s="16">
        <f>[1]Items!L172</f>
        <v>0</v>
      </c>
      <c r="M186" s="16">
        <f>[1]Items!M172</f>
        <v>0</v>
      </c>
      <c r="N186" s="16">
        <f>[1]Items!N172</f>
        <v>0</v>
      </c>
      <c r="O186" s="16">
        <f>[1]Items!O172</f>
        <v>0</v>
      </c>
      <c r="P186" s="16">
        <f>[1]Items!P172</f>
        <v>0</v>
      </c>
      <c r="Q186" s="16">
        <f>[1]Items!Q172</f>
        <v>0</v>
      </c>
      <c r="R186" s="16">
        <f>[1]Items!R172</f>
        <v>0</v>
      </c>
      <c r="S186" s="16">
        <f>[1]Items!S172</f>
        <v>0</v>
      </c>
      <c r="W186">
        <f>IF('Dota 2'!$C$6, (Items!C186+Items!E186)*Items!$X$2, (Items!C186+Items!D186)*Items!$X$2)</f>
        <v>0</v>
      </c>
      <c r="X186">
        <f t="shared" si="12"/>
        <v>0</v>
      </c>
      <c r="Y186">
        <f t="shared" si="13"/>
        <v>0</v>
      </c>
      <c r="Z186">
        <f t="shared" si="14"/>
        <v>0</v>
      </c>
      <c r="AA186">
        <f t="shared" si="15"/>
        <v>0</v>
      </c>
      <c r="AB186">
        <f>('Dota 2'!$H$10/$Z$4) * (1-($Y$9*($AA$2+J186))/($Y$7+$Y$9*ABS($AA$2+J186)) - $Z$4)</f>
        <v>0</v>
      </c>
      <c r="AC186">
        <f>IF('Dota 2'!$C$6, K186*M186*(1-$Z$3)*'Dota 2'!$H$8, K186*L186*(1-$Z$3)*'Dota 2'!$H$8)</f>
        <v>0</v>
      </c>
      <c r="AD186">
        <f>N186*O186*'Dota 2'!$H$10</f>
        <v>0</v>
      </c>
      <c r="AE186" s="2">
        <f t="shared" si="16"/>
        <v>0</v>
      </c>
      <c r="AF186" s="17">
        <f t="shared" si="17"/>
        <v>0</v>
      </c>
    </row>
    <row r="187" spans="1:32" x14ac:dyDescent="0.25">
      <c r="A187" s="6">
        <f>[1]Items!$A173</f>
        <v>0</v>
      </c>
      <c r="B187" s="16">
        <f>[1]Items!B173</f>
        <v>0</v>
      </c>
      <c r="C187" s="16">
        <f>[1]Items!C173</f>
        <v>0</v>
      </c>
      <c r="D187" s="16">
        <f>[1]Items!D173</f>
        <v>0</v>
      </c>
      <c r="E187" s="16">
        <f>[1]Items!E173</f>
        <v>0</v>
      </c>
      <c r="F187" s="16">
        <f>[1]Items!F173</f>
        <v>0</v>
      </c>
      <c r="G187" s="16">
        <f>[1]Items!G173</f>
        <v>0</v>
      </c>
      <c r="H187" s="16">
        <f>[1]Items!H173</f>
        <v>0</v>
      </c>
      <c r="I187" s="16">
        <f>[1]Items!I173</f>
        <v>0</v>
      </c>
      <c r="J187" s="16">
        <f>[1]Items!J173</f>
        <v>0</v>
      </c>
      <c r="K187" s="16">
        <f>[1]Items!K173</f>
        <v>0</v>
      </c>
      <c r="L187" s="16">
        <f>[1]Items!L173</f>
        <v>0</v>
      </c>
      <c r="M187" s="16">
        <f>[1]Items!M173</f>
        <v>0</v>
      </c>
      <c r="N187" s="16">
        <f>[1]Items!N173</f>
        <v>0</v>
      </c>
      <c r="O187" s="16">
        <f>[1]Items!O173</f>
        <v>0</v>
      </c>
      <c r="P187" s="16">
        <f>[1]Items!P173</f>
        <v>0</v>
      </c>
      <c r="Q187" s="16">
        <f>[1]Items!Q173</f>
        <v>0</v>
      </c>
      <c r="R187" s="16">
        <f>[1]Items!R173</f>
        <v>0</v>
      </c>
      <c r="S187" s="16">
        <f>[1]Items!S173</f>
        <v>0</v>
      </c>
      <c r="W187">
        <f>IF('Dota 2'!$C$6, (Items!C187+Items!E187)*Items!$X$2, (Items!C187+Items!D187)*Items!$X$2)</f>
        <v>0</v>
      </c>
      <c r="X187">
        <f t="shared" si="12"/>
        <v>0</v>
      </c>
      <c r="Y187">
        <f t="shared" si="13"/>
        <v>0</v>
      </c>
      <c r="Z187">
        <f t="shared" si="14"/>
        <v>0</v>
      </c>
      <c r="AA187">
        <f t="shared" si="15"/>
        <v>0</v>
      </c>
      <c r="AB187">
        <f>('Dota 2'!$H$10/$Z$4) * (1-($Y$9*($AA$2+J187))/($Y$7+$Y$9*ABS($AA$2+J187)) - $Z$4)</f>
        <v>0</v>
      </c>
      <c r="AC187">
        <f>IF('Dota 2'!$C$6, K187*M187*(1-$Z$3)*'Dota 2'!$H$8, K187*L187*(1-$Z$3)*'Dota 2'!$H$8)</f>
        <v>0</v>
      </c>
      <c r="AD187">
        <f>N187*O187*'Dota 2'!$H$10</f>
        <v>0</v>
      </c>
      <c r="AE187" s="2">
        <f t="shared" si="16"/>
        <v>0</v>
      </c>
      <c r="AF187" s="17">
        <f t="shared" si="17"/>
        <v>0</v>
      </c>
    </row>
    <row r="188" spans="1:32" x14ac:dyDescent="0.25">
      <c r="A188" s="6">
        <f>[1]Items!$A174</f>
        <v>0</v>
      </c>
      <c r="B188" s="16">
        <f>[1]Items!B174</f>
        <v>0</v>
      </c>
      <c r="C188" s="16">
        <f>[1]Items!C174</f>
        <v>0</v>
      </c>
      <c r="D188" s="16">
        <f>[1]Items!D174</f>
        <v>0</v>
      </c>
      <c r="E188" s="16">
        <f>[1]Items!E174</f>
        <v>0</v>
      </c>
      <c r="F188" s="16">
        <f>[1]Items!F174</f>
        <v>0</v>
      </c>
      <c r="G188" s="16">
        <f>[1]Items!G174</f>
        <v>0</v>
      </c>
      <c r="H188" s="16">
        <f>[1]Items!H174</f>
        <v>0</v>
      </c>
      <c r="I188" s="16">
        <f>[1]Items!I174</f>
        <v>0</v>
      </c>
      <c r="J188" s="16">
        <f>[1]Items!J174</f>
        <v>0</v>
      </c>
      <c r="K188" s="16">
        <f>[1]Items!K174</f>
        <v>0</v>
      </c>
      <c r="L188" s="16">
        <f>[1]Items!L174</f>
        <v>0</v>
      </c>
      <c r="M188" s="16">
        <f>[1]Items!M174</f>
        <v>0</v>
      </c>
      <c r="N188" s="16">
        <f>[1]Items!N174</f>
        <v>0</v>
      </c>
      <c r="O188" s="16">
        <f>[1]Items!O174</f>
        <v>0</v>
      </c>
      <c r="P188" s="16">
        <f>[1]Items!P174</f>
        <v>0</v>
      </c>
      <c r="Q188" s="16">
        <f>[1]Items!Q174</f>
        <v>0</v>
      </c>
      <c r="R188" s="16">
        <f>[1]Items!R174</f>
        <v>0</v>
      </c>
      <c r="S188" s="16">
        <f>[1]Items!S174</f>
        <v>0</v>
      </c>
      <c r="W188">
        <f>IF('Dota 2'!$C$6, (Items!C188+Items!E188)*Items!$X$2, (Items!C188+Items!D188)*Items!$X$2)</f>
        <v>0</v>
      </c>
      <c r="X188">
        <f t="shared" si="12"/>
        <v>0</v>
      </c>
      <c r="Y188">
        <f t="shared" si="13"/>
        <v>0</v>
      </c>
      <c r="Z188">
        <f t="shared" si="14"/>
        <v>0</v>
      </c>
      <c r="AA188">
        <f t="shared" si="15"/>
        <v>0</v>
      </c>
      <c r="AB188">
        <f>('Dota 2'!$H$10/$Z$4) * (1-($Y$9*($AA$2+J188))/($Y$7+$Y$9*ABS($AA$2+J188)) - $Z$4)</f>
        <v>0</v>
      </c>
      <c r="AC188">
        <f>IF('Dota 2'!$C$6, K188*M188*(1-$Z$3)*'Dota 2'!$H$8, K188*L188*(1-$Z$3)*'Dota 2'!$H$8)</f>
        <v>0</v>
      </c>
      <c r="AD188">
        <f>N188*O188*'Dota 2'!$H$10</f>
        <v>0</v>
      </c>
      <c r="AE188" s="2">
        <f t="shared" si="16"/>
        <v>0</v>
      </c>
      <c r="AF188" s="17">
        <f t="shared" si="17"/>
        <v>0</v>
      </c>
    </row>
    <row r="189" spans="1:32" x14ac:dyDescent="0.25">
      <c r="A189" s="6">
        <f>[1]Items!$A175</f>
        <v>0</v>
      </c>
      <c r="B189" s="16">
        <f>[1]Items!B175</f>
        <v>0</v>
      </c>
      <c r="C189" s="16">
        <f>[1]Items!C175</f>
        <v>0</v>
      </c>
      <c r="D189" s="16">
        <f>[1]Items!D175</f>
        <v>0</v>
      </c>
      <c r="E189" s="16">
        <f>[1]Items!E175</f>
        <v>0</v>
      </c>
      <c r="F189" s="16">
        <f>[1]Items!F175</f>
        <v>0</v>
      </c>
      <c r="G189" s="16">
        <f>[1]Items!G175</f>
        <v>0</v>
      </c>
      <c r="H189" s="16">
        <f>[1]Items!H175</f>
        <v>0</v>
      </c>
      <c r="I189" s="16">
        <f>[1]Items!I175</f>
        <v>0</v>
      </c>
      <c r="J189" s="16">
        <f>[1]Items!J175</f>
        <v>0</v>
      </c>
      <c r="K189" s="16">
        <f>[1]Items!K175</f>
        <v>0</v>
      </c>
      <c r="L189" s="16">
        <f>[1]Items!L175</f>
        <v>0</v>
      </c>
      <c r="M189" s="16">
        <f>[1]Items!M175</f>
        <v>0</v>
      </c>
      <c r="N189" s="16">
        <f>[1]Items!N175</f>
        <v>0</v>
      </c>
      <c r="O189" s="16">
        <f>[1]Items!O175</f>
        <v>0</v>
      </c>
      <c r="P189" s="16">
        <f>[1]Items!P175</f>
        <v>0</v>
      </c>
      <c r="Q189" s="16">
        <f>[1]Items!Q175</f>
        <v>0</v>
      </c>
      <c r="R189" s="16">
        <f>[1]Items!R175</f>
        <v>0</v>
      </c>
      <c r="S189" s="16">
        <f>[1]Items!S175</f>
        <v>0</v>
      </c>
      <c r="W189">
        <f>IF('Dota 2'!$C$6, (Items!C189+Items!E189)*Items!$X$2, (Items!C189+Items!D189)*Items!$X$2)</f>
        <v>0</v>
      </c>
      <c r="X189">
        <f t="shared" si="12"/>
        <v>0</v>
      </c>
      <c r="Y189">
        <f t="shared" si="13"/>
        <v>0</v>
      </c>
      <c r="Z189">
        <f t="shared" si="14"/>
        <v>0</v>
      </c>
      <c r="AA189">
        <f t="shared" si="15"/>
        <v>0</v>
      </c>
      <c r="AB189">
        <f>('Dota 2'!$H$10/$Z$4) * (1-($Y$9*($AA$2+J189))/($Y$7+$Y$9*ABS($AA$2+J189)) - $Z$4)</f>
        <v>0</v>
      </c>
      <c r="AC189">
        <f>IF('Dota 2'!$C$6, K189*M189*(1-$Z$3)*'Dota 2'!$H$8, K189*L189*(1-$Z$3)*'Dota 2'!$H$8)</f>
        <v>0</v>
      </c>
      <c r="AD189">
        <f>N189*O189*'Dota 2'!$H$10</f>
        <v>0</v>
      </c>
      <c r="AE189" s="2">
        <f t="shared" si="16"/>
        <v>0</v>
      </c>
      <c r="AF189" s="17">
        <f t="shared" si="17"/>
        <v>0</v>
      </c>
    </row>
    <row r="190" spans="1:32" x14ac:dyDescent="0.25">
      <c r="A190" s="6">
        <f>[1]Items!$A176</f>
        <v>0</v>
      </c>
      <c r="B190" s="16">
        <f>[1]Items!B176</f>
        <v>0</v>
      </c>
      <c r="C190" s="16">
        <f>[1]Items!C176</f>
        <v>0</v>
      </c>
      <c r="D190" s="16">
        <f>[1]Items!D176</f>
        <v>0</v>
      </c>
      <c r="E190" s="16">
        <f>[1]Items!E176</f>
        <v>0</v>
      </c>
      <c r="F190" s="16">
        <f>[1]Items!F176</f>
        <v>0</v>
      </c>
      <c r="G190" s="16">
        <f>[1]Items!G176</f>
        <v>0</v>
      </c>
      <c r="H190" s="16">
        <f>[1]Items!H176</f>
        <v>0</v>
      </c>
      <c r="I190" s="16">
        <f>[1]Items!I176</f>
        <v>0</v>
      </c>
      <c r="J190" s="16">
        <f>[1]Items!J176</f>
        <v>0</v>
      </c>
      <c r="K190" s="16">
        <f>[1]Items!K176</f>
        <v>0</v>
      </c>
      <c r="L190" s="16">
        <f>[1]Items!L176</f>
        <v>0</v>
      </c>
      <c r="M190" s="16">
        <f>[1]Items!M176</f>
        <v>0</v>
      </c>
      <c r="N190" s="16">
        <f>[1]Items!N176</f>
        <v>0</v>
      </c>
      <c r="O190" s="16">
        <f>[1]Items!O176</f>
        <v>0</v>
      </c>
      <c r="P190" s="16">
        <f>[1]Items!P176</f>
        <v>0</v>
      </c>
      <c r="Q190" s="16">
        <f>[1]Items!Q176</f>
        <v>0</v>
      </c>
      <c r="R190" s="16">
        <f>[1]Items!R176</f>
        <v>0</v>
      </c>
      <c r="S190" s="16">
        <f>[1]Items!S176</f>
        <v>0</v>
      </c>
      <c r="W190">
        <f>IF('Dota 2'!$C$6, (Items!C190+Items!E190)*Items!$X$2, (Items!C190+Items!D190)*Items!$X$2)</f>
        <v>0</v>
      </c>
      <c r="X190">
        <f t="shared" si="12"/>
        <v>0</v>
      </c>
      <c r="Y190">
        <f t="shared" si="13"/>
        <v>0</v>
      </c>
      <c r="Z190">
        <f t="shared" si="14"/>
        <v>0</v>
      </c>
      <c r="AA190">
        <f t="shared" si="15"/>
        <v>0</v>
      </c>
      <c r="AB190">
        <f>('Dota 2'!$H$10/$Z$4) * (1-($Y$9*($AA$2+J190))/($Y$7+$Y$9*ABS($AA$2+J190)) - $Z$4)</f>
        <v>0</v>
      </c>
      <c r="AC190">
        <f>IF('Dota 2'!$C$6, K190*M190*(1-$Z$3)*'Dota 2'!$H$8, K190*L190*(1-$Z$3)*'Dota 2'!$H$8)</f>
        <v>0</v>
      </c>
      <c r="AD190">
        <f>N190*O190*'Dota 2'!$H$10</f>
        <v>0</v>
      </c>
      <c r="AE190" s="2">
        <f t="shared" si="16"/>
        <v>0</v>
      </c>
      <c r="AF190" s="17">
        <f t="shared" si="17"/>
        <v>0</v>
      </c>
    </row>
    <row r="191" spans="1:32" x14ac:dyDescent="0.25">
      <c r="A191" s="6">
        <f>[1]Items!$A177</f>
        <v>0</v>
      </c>
      <c r="B191" s="16">
        <f>[1]Items!B177</f>
        <v>0</v>
      </c>
      <c r="C191" s="16">
        <f>[1]Items!C177</f>
        <v>0</v>
      </c>
      <c r="D191" s="16">
        <f>[1]Items!D177</f>
        <v>0</v>
      </c>
      <c r="E191" s="16">
        <f>[1]Items!E177</f>
        <v>0</v>
      </c>
      <c r="F191" s="16">
        <f>[1]Items!F177</f>
        <v>0</v>
      </c>
      <c r="G191" s="16">
        <f>[1]Items!G177</f>
        <v>0</v>
      </c>
      <c r="H191" s="16">
        <f>[1]Items!H177</f>
        <v>0</v>
      </c>
      <c r="I191" s="16">
        <f>[1]Items!I177</f>
        <v>0</v>
      </c>
      <c r="J191" s="16">
        <f>[1]Items!J177</f>
        <v>0</v>
      </c>
      <c r="K191" s="16">
        <f>[1]Items!K177</f>
        <v>0</v>
      </c>
      <c r="L191" s="16">
        <f>[1]Items!L177</f>
        <v>0</v>
      </c>
      <c r="M191" s="16">
        <f>[1]Items!M177</f>
        <v>0</v>
      </c>
      <c r="N191" s="16">
        <f>[1]Items!N177</f>
        <v>0</v>
      </c>
      <c r="O191" s="16">
        <f>[1]Items!O177</f>
        <v>0</v>
      </c>
      <c r="P191" s="16">
        <f>[1]Items!P177</f>
        <v>0</v>
      </c>
      <c r="Q191" s="16">
        <f>[1]Items!Q177</f>
        <v>0</v>
      </c>
      <c r="R191" s="16">
        <f>[1]Items!R177</f>
        <v>0</v>
      </c>
      <c r="S191" s="16">
        <f>[1]Items!S177</f>
        <v>0</v>
      </c>
      <c r="W191">
        <f>IF('Dota 2'!$C$6, (Items!C191+Items!E191)*Items!$X$2, (Items!C191+Items!D191)*Items!$X$2)</f>
        <v>0</v>
      </c>
      <c r="X191">
        <f t="shared" si="12"/>
        <v>0</v>
      </c>
      <c r="Y191">
        <f t="shared" si="13"/>
        <v>0</v>
      </c>
      <c r="Z191">
        <f t="shared" si="14"/>
        <v>0</v>
      </c>
      <c r="AA191">
        <f t="shared" si="15"/>
        <v>0</v>
      </c>
      <c r="AB191">
        <f>('Dota 2'!$H$10/$Z$4) * (1-($Y$9*($AA$2+J191))/($Y$7+$Y$9*ABS($AA$2+J191)) - $Z$4)</f>
        <v>0</v>
      </c>
      <c r="AC191">
        <f>IF('Dota 2'!$C$6, K191*M191*(1-$Z$3)*'Dota 2'!$H$8, K191*L191*(1-$Z$3)*'Dota 2'!$H$8)</f>
        <v>0</v>
      </c>
      <c r="AD191">
        <f>N191*O191*'Dota 2'!$H$10</f>
        <v>0</v>
      </c>
      <c r="AE191" s="2">
        <f t="shared" si="16"/>
        <v>0</v>
      </c>
      <c r="AF191" s="17">
        <f t="shared" si="17"/>
        <v>0</v>
      </c>
    </row>
    <row r="192" spans="1:32" x14ac:dyDescent="0.25">
      <c r="A192" s="6">
        <f>[1]Items!$A178</f>
        <v>0</v>
      </c>
      <c r="B192" s="16">
        <f>[1]Items!B178</f>
        <v>0</v>
      </c>
      <c r="C192" s="16">
        <f>[1]Items!C178</f>
        <v>0</v>
      </c>
      <c r="D192" s="16">
        <f>[1]Items!D178</f>
        <v>0</v>
      </c>
      <c r="E192" s="16">
        <f>[1]Items!E178</f>
        <v>0</v>
      </c>
      <c r="F192" s="16">
        <f>[1]Items!F178</f>
        <v>0</v>
      </c>
      <c r="G192" s="16">
        <f>[1]Items!G178</f>
        <v>0</v>
      </c>
      <c r="H192" s="16">
        <f>[1]Items!H178</f>
        <v>0</v>
      </c>
      <c r="I192" s="16">
        <f>[1]Items!I178</f>
        <v>0</v>
      </c>
      <c r="J192" s="16">
        <f>[1]Items!J178</f>
        <v>0</v>
      </c>
      <c r="K192" s="16">
        <f>[1]Items!K178</f>
        <v>0</v>
      </c>
      <c r="L192" s="16">
        <f>[1]Items!L178</f>
        <v>0</v>
      </c>
      <c r="M192" s="16">
        <f>[1]Items!M178</f>
        <v>0</v>
      </c>
      <c r="N192" s="16">
        <f>[1]Items!N178</f>
        <v>0</v>
      </c>
      <c r="O192" s="16">
        <f>[1]Items!O178</f>
        <v>0</v>
      </c>
      <c r="P192" s="16">
        <f>[1]Items!P178</f>
        <v>0</v>
      </c>
      <c r="Q192" s="16">
        <f>[1]Items!Q178</f>
        <v>0</v>
      </c>
      <c r="R192" s="16">
        <f>[1]Items!R178</f>
        <v>0</v>
      </c>
      <c r="S192" s="16">
        <f>[1]Items!S178</f>
        <v>0</v>
      </c>
      <c r="W192">
        <f>IF('Dota 2'!$C$6, (Items!C192+Items!E192)*Items!$X$2, (Items!C192+Items!D192)*Items!$X$2)</f>
        <v>0</v>
      </c>
      <c r="X192">
        <f t="shared" si="12"/>
        <v>0</v>
      </c>
      <c r="Y192">
        <f t="shared" si="13"/>
        <v>0</v>
      </c>
      <c r="Z192">
        <f t="shared" si="14"/>
        <v>0</v>
      </c>
      <c r="AA192">
        <f t="shared" si="15"/>
        <v>0</v>
      </c>
      <c r="AB192">
        <f>('Dota 2'!$H$10/$Z$4) * (1-($Y$9*($AA$2+J192))/($Y$7+$Y$9*ABS($AA$2+J192)) - $Z$4)</f>
        <v>0</v>
      </c>
      <c r="AC192">
        <f>IF('Dota 2'!$C$6, K192*M192*(1-$Z$3)*'Dota 2'!$H$8, K192*L192*(1-$Z$3)*'Dota 2'!$H$8)</f>
        <v>0</v>
      </c>
      <c r="AD192">
        <f>N192*O192*'Dota 2'!$H$10</f>
        <v>0</v>
      </c>
      <c r="AE192" s="2">
        <f t="shared" si="16"/>
        <v>0</v>
      </c>
      <c r="AF192" s="17">
        <f t="shared" si="17"/>
        <v>0</v>
      </c>
    </row>
    <row r="193" spans="1:32" x14ac:dyDescent="0.25">
      <c r="A193" s="6">
        <f>[1]Items!$A179</f>
        <v>0</v>
      </c>
      <c r="B193" s="16">
        <f>[1]Items!B179</f>
        <v>0</v>
      </c>
      <c r="C193" s="16">
        <f>[1]Items!C179</f>
        <v>0</v>
      </c>
      <c r="D193" s="16">
        <f>[1]Items!D179</f>
        <v>0</v>
      </c>
      <c r="E193" s="16">
        <f>[1]Items!E179</f>
        <v>0</v>
      </c>
      <c r="F193" s="16">
        <f>[1]Items!F179</f>
        <v>0</v>
      </c>
      <c r="G193" s="16">
        <f>[1]Items!G179</f>
        <v>0</v>
      </c>
      <c r="H193" s="16">
        <f>[1]Items!H179</f>
        <v>0</v>
      </c>
      <c r="I193" s="16">
        <f>[1]Items!I179</f>
        <v>0</v>
      </c>
      <c r="J193" s="16">
        <f>[1]Items!J179</f>
        <v>0</v>
      </c>
      <c r="K193" s="16">
        <f>[1]Items!K179</f>
        <v>0</v>
      </c>
      <c r="L193" s="16">
        <f>[1]Items!L179</f>
        <v>0</v>
      </c>
      <c r="M193" s="16">
        <f>[1]Items!M179</f>
        <v>0</v>
      </c>
      <c r="N193" s="16">
        <f>[1]Items!N179</f>
        <v>0</v>
      </c>
      <c r="O193" s="16">
        <f>[1]Items!O179</f>
        <v>0</v>
      </c>
      <c r="P193" s="16">
        <f>[1]Items!P179</f>
        <v>0</v>
      </c>
      <c r="Q193" s="16">
        <f>[1]Items!Q179</f>
        <v>0</v>
      </c>
      <c r="R193" s="16">
        <f>[1]Items!R179</f>
        <v>0</v>
      </c>
      <c r="S193" s="16">
        <f>[1]Items!S179</f>
        <v>0</v>
      </c>
      <c r="W193">
        <f>IF('Dota 2'!$C$6, (Items!C193+Items!E193)*Items!$X$2, (Items!C193+Items!D193)*Items!$X$2)</f>
        <v>0</v>
      </c>
      <c r="X193">
        <f t="shared" si="12"/>
        <v>0</v>
      </c>
      <c r="Y193">
        <f t="shared" si="13"/>
        <v>0</v>
      </c>
      <c r="Z193">
        <f t="shared" si="14"/>
        <v>0</v>
      </c>
      <c r="AA193">
        <f t="shared" si="15"/>
        <v>0</v>
      </c>
      <c r="AB193">
        <f>('Dota 2'!$H$10/$Z$4) * (1-($Y$9*($AA$2+J193))/($Y$7+$Y$9*ABS($AA$2+J193)) - $Z$4)</f>
        <v>0</v>
      </c>
      <c r="AC193">
        <f>IF('Dota 2'!$C$6, K193*M193*(1-$Z$3)*'Dota 2'!$H$8, K193*L193*(1-$Z$3)*'Dota 2'!$H$8)</f>
        <v>0</v>
      </c>
      <c r="AD193">
        <f>N193*O193*'Dota 2'!$H$10</f>
        <v>0</v>
      </c>
      <c r="AE193" s="2">
        <f t="shared" si="16"/>
        <v>0</v>
      </c>
      <c r="AF193" s="17">
        <f t="shared" si="17"/>
        <v>0</v>
      </c>
    </row>
    <row r="194" spans="1:32" x14ac:dyDescent="0.25">
      <c r="A194" s="6">
        <f>[1]Items!$A180</f>
        <v>0</v>
      </c>
      <c r="B194" s="16">
        <f>[1]Items!B180</f>
        <v>0</v>
      </c>
      <c r="C194" s="16">
        <f>[1]Items!C180</f>
        <v>0</v>
      </c>
      <c r="D194" s="16">
        <f>[1]Items!D180</f>
        <v>0</v>
      </c>
      <c r="E194" s="16">
        <f>[1]Items!E180</f>
        <v>0</v>
      </c>
      <c r="F194" s="16">
        <f>[1]Items!F180</f>
        <v>0</v>
      </c>
      <c r="G194" s="16">
        <f>[1]Items!G180</f>
        <v>0</v>
      </c>
      <c r="H194" s="16">
        <f>[1]Items!H180</f>
        <v>0</v>
      </c>
      <c r="I194" s="16">
        <f>[1]Items!I180</f>
        <v>0</v>
      </c>
      <c r="J194" s="16">
        <f>[1]Items!J180</f>
        <v>0</v>
      </c>
      <c r="K194" s="16">
        <f>[1]Items!K180</f>
        <v>0</v>
      </c>
      <c r="L194" s="16">
        <f>[1]Items!L180</f>
        <v>0</v>
      </c>
      <c r="M194" s="16">
        <f>[1]Items!M180</f>
        <v>0</v>
      </c>
      <c r="N194" s="16">
        <f>[1]Items!N180</f>
        <v>0</v>
      </c>
      <c r="O194" s="16">
        <f>[1]Items!O180</f>
        <v>0</v>
      </c>
      <c r="P194" s="16">
        <f>[1]Items!P180</f>
        <v>0</v>
      </c>
      <c r="Q194" s="16">
        <f>[1]Items!Q180</f>
        <v>0</v>
      </c>
      <c r="R194" s="16">
        <f>[1]Items!R180</f>
        <v>0</v>
      </c>
      <c r="S194" s="16">
        <f>[1]Items!S180</f>
        <v>0</v>
      </c>
      <c r="W194">
        <f>IF('Dota 2'!$C$6, (Items!C194+Items!E194)*Items!$X$2, (Items!C194+Items!D194)*Items!$X$2)</f>
        <v>0</v>
      </c>
      <c r="X194">
        <f t="shared" si="12"/>
        <v>0</v>
      </c>
      <c r="Y194">
        <f t="shared" si="13"/>
        <v>0</v>
      </c>
      <c r="Z194">
        <f t="shared" si="14"/>
        <v>0</v>
      </c>
      <c r="AA194">
        <f t="shared" si="15"/>
        <v>0</v>
      </c>
      <c r="AB194">
        <f>('Dota 2'!$H$10/$Z$4) * (1-($Y$9*($AA$2+J194))/($Y$7+$Y$9*ABS($AA$2+J194)) - $Z$4)</f>
        <v>0</v>
      </c>
      <c r="AC194">
        <f>IF('Dota 2'!$C$6, K194*M194*(1-$Z$3)*'Dota 2'!$H$8, K194*L194*(1-$Z$3)*'Dota 2'!$H$8)</f>
        <v>0</v>
      </c>
      <c r="AD194">
        <f>N194*O194*'Dota 2'!$H$10</f>
        <v>0</v>
      </c>
      <c r="AE194" s="2">
        <f t="shared" si="16"/>
        <v>0</v>
      </c>
      <c r="AF194" s="17">
        <f t="shared" si="17"/>
        <v>0</v>
      </c>
    </row>
    <row r="195" spans="1:32" x14ac:dyDescent="0.25">
      <c r="A195" s="6">
        <f>[1]Items!$A181</f>
        <v>0</v>
      </c>
      <c r="B195" s="16">
        <f>[1]Items!B181</f>
        <v>0</v>
      </c>
      <c r="C195" s="16">
        <f>[1]Items!C181</f>
        <v>0</v>
      </c>
      <c r="D195" s="16">
        <f>[1]Items!D181</f>
        <v>0</v>
      </c>
      <c r="E195" s="16">
        <f>[1]Items!E181</f>
        <v>0</v>
      </c>
      <c r="F195" s="16">
        <f>[1]Items!F181</f>
        <v>0</v>
      </c>
      <c r="G195" s="16">
        <f>[1]Items!G181</f>
        <v>0</v>
      </c>
      <c r="H195" s="16">
        <f>[1]Items!H181</f>
        <v>0</v>
      </c>
      <c r="I195" s="16">
        <f>[1]Items!I181</f>
        <v>0</v>
      </c>
      <c r="J195" s="16">
        <f>[1]Items!J181</f>
        <v>0</v>
      </c>
      <c r="K195" s="16">
        <f>[1]Items!K181</f>
        <v>0</v>
      </c>
      <c r="L195" s="16">
        <f>[1]Items!L181</f>
        <v>0</v>
      </c>
      <c r="M195" s="16">
        <f>[1]Items!M181</f>
        <v>0</v>
      </c>
      <c r="N195" s="16">
        <f>[1]Items!N181</f>
        <v>0</v>
      </c>
      <c r="O195" s="16">
        <f>[1]Items!O181</f>
        <v>0</v>
      </c>
      <c r="P195" s="16">
        <f>[1]Items!P181</f>
        <v>0</v>
      </c>
      <c r="Q195" s="16">
        <f>[1]Items!Q181</f>
        <v>0</v>
      </c>
      <c r="R195" s="16">
        <f>[1]Items!R181</f>
        <v>0</v>
      </c>
      <c r="S195" s="16">
        <f>[1]Items!S181</f>
        <v>0</v>
      </c>
      <c r="W195">
        <f>IF('Dota 2'!$C$6, (Items!C195+Items!E195)*Items!$X$2, (Items!C195+Items!D195)*Items!$X$2)</f>
        <v>0</v>
      </c>
      <c r="X195">
        <f t="shared" si="12"/>
        <v>0</v>
      </c>
      <c r="Y195">
        <f t="shared" si="13"/>
        <v>0</v>
      </c>
      <c r="Z195">
        <f t="shared" si="14"/>
        <v>0</v>
      </c>
      <c r="AA195">
        <f t="shared" si="15"/>
        <v>0</v>
      </c>
      <c r="AB195">
        <f>('Dota 2'!$H$10/$Z$4) * (1-($Y$9*($AA$2+J195))/($Y$7+$Y$9*ABS($AA$2+J195)) - $Z$4)</f>
        <v>0</v>
      </c>
      <c r="AC195">
        <f>IF('Dota 2'!$C$6, K195*M195*(1-$Z$3)*'Dota 2'!$H$8, K195*L195*(1-$Z$3)*'Dota 2'!$H$8)</f>
        <v>0</v>
      </c>
      <c r="AD195">
        <f>N195*O195*'Dota 2'!$H$10</f>
        <v>0</v>
      </c>
      <c r="AE195" s="2">
        <f t="shared" si="16"/>
        <v>0</v>
      </c>
      <c r="AF195" s="17">
        <f t="shared" si="17"/>
        <v>0</v>
      </c>
    </row>
    <row r="196" spans="1:32" x14ac:dyDescent="0.25">
      <c r="A196" s="6">
        <f>[1]Items!$A182</f>
        <v>0</v>
      </c>
      <c r="B196" s="16">
        <f>[1]Items!B182</f>
        <v>0</v>
      </c>
      <c r="C196" s="16">
        <f>[1]Items!C182</f>
        <v>0</v>
      </c>
      <c r="D196" s="16">
        <f>[1]Items!D182</f>
        <v>0</v>
      </c>
      <c r="E196" s="16">
        <f>[1]Items!E182</f>
        <v>0</v>
      </c>
      <c r="F196" s="16">
        <f>[1]Items!F182</f>
        <v>0</v>
      </c>
      <c r="G196" s="16">
        <f>[1]Items!G182</f>
        <v>0</v>
      </c>
      <c r="H196" s="16">
        <f>[1]Items!H182</f>
        <v>0</v>
      </c>
      <c r="I196" s="16">
        <f>[1]Items!I182</f>
        <v>0</v>
      </c>
      <c r="J196" s="16">
        <f>[1]Items!J182</f>
        <v>0</v>
      </c>
      <c r="K196" s="16">
        <f>[1]Items!K182</f>
        <v>0</v>
      </c>
      <c r="L196" s="16">
        <f>[1]Items!L182</f>
        <v>0</v>
      </c>
      <c r="M196" s="16">
        <f>[1]Items!M182</f>
        <v>0</v>
      </c>
      <c r="N196" s="16">
        <f>[1]Items!N182</f>
        <v>0</v>
      </c>
      <c r="O196" s="16">
        <f>[1]Items!O182</f>
        <v>0</v>
      </c>
      <c r="P196" s="16">
        <f>[1]Items!P182</f>
        <v>0</v>
      </c>
      <c r="Q196" s="16">
        <f>[1]Items!Q182</f>
        <v>0</v>
      </c>
      <c r="R196" s="16">
        <f>[1]Items!R182</f>
        <v>0</v>
      </c>
      <c r="S196" s="16">
        <f>[1]Items!S182</f>
        <v>0</v>
      </c>
      <c r="W196">
        <f>IF('Dota 2'!$C$6, (Items!C196+Items!E196)*Items!$X$2, (Items!C196+Items!D196)*Items!$X$2)</f>
        <v>0</v>
      </c>
      <c r="X196">
        <f t="shared" si="12"/>
        <v>0</v>
      </c>
      <c r="Y196">
        <f t="shared" si="13"/>
        <v>0</v>
      </c>
      <c r="Z196">
        <f t="shared" si="14"/>
        <v>0</v>
      </c>
      <c r="AA196">
        <f t="shared" si="15"/>
        <v>0</v>
      </c>
      <c r="AB196">
        <f>('Dota 2'!$H$10/$Z$4) * (1-($Y$9*($AA$2+J196))/($Y$7+$Y$9*ABS($AA$2+J196)) - $Z$4)</f>
        <v>0</v>
      </c>
      <c r="AC196">
        <f>IF('Dota 2'!$C$6, K196*M196*(1-$Z$3)*'Dota 2'!$H$8, K196*L196*(1-$Z$3)*'Dota 2'!$H$8)</f>
        <v>0</v>
      </c>
      <c r="AD196">
        <f>N196*O196*'Dota 2'!$H$10</f>
        <v>0</v>
      </c>
      <c r="AE196" s="2">
        <f t="shared" si="16"/>
        <v>0</v>
      </c>
      <c r="AF196" s="17">
        <f t="shared" si="17"/>
        <v>0</v>
      </c>
    </row>
    <row r="197" spans="1:32" x14ac:dyDescent="0.25">
      <c r="A197" s="6">
        <f>[1]Items!$A183</f>
        <v>0</v>
      </c>
      <c r="B197" s="16">
        <f>[1]Items!B183</f>
        <v>0</v>
      </c>
      <c r="C197" s="16">
        <f>[1]Items!C183</f>
        <v>0</v>
      </c>
      <c r="D197" s="16">
        <f>[1]Items!D183</f>
        <v>0</v>
      </c>
      <c r="E197" s="16">
        <f>[1]Items!E183</f>
        <v>0</v>
      </c>
      <c r="F197" s="16">
        <f>[1]Items!F183</f>
        <v>0</v>
      </c>
      <c r="G197" s="16">
        <f>[1]Items!G183</f>
        <v>0</v>
      </c>
      <c r="H197" s="16">
        <f>[1]Items!H183</f>
        <v>0</v>
      </c>
      <c r="I197" s="16">
        <f>[1]Items!I183</f>
        <v>0</v>
      </c>
      <c r="J197" s="16">
        <f>[1]Items!J183</f>
        <v>0</v>
      </c>
      <c r="K197" s="16">
        <f>[1]Items!K183</f>
        <v>0</v>
      </c>
      <c r="L197" s="16">
        <f>[1]Items!L183</f>
        <v>0</v>
      </c>
      <c r="M197" s="16">
        <f>[1]Items!M183</f>
        <v>0</v>
      </c>
      <c r="N197" s="16">
        <f>[1]Items!N183</f>
        <v>0</v>
      </c>
      <c r="O197" s="16">
        <f>[1]Items!O183</f>
        <v>0</v>
      </c>
      <c r="P197" s="16">
        <f>[1]Items!P183</f>
        <v>0</v>
      </c>
      <c r="Q197" s="16">
        <f>[1]Items!Q183</f>
        <v>0</v>
      </c>
      <c r="R197" s="16">
        <f>[1]Items!R183</f>
        <v>0</v>
      </c>
      <c r="S197" s="16">
        <f>[1]Items!S183</f>
        <v>0</v>
      </c>
      <c r="W197">
        <f>IF('Dota 2'!$C$6, (Items!C197+Items!E197)*Items!$X$2, (Items!C197+Items!D197)*Items!$X$2)</f>
        <v>0</v>
      </c>
      <c r="X197">
        <f t="shared" si="12"/>
        <v>0</v>
      </c>
      <c r="Y197">
        <f t="shared" si="13"/>
        <v>0</v>
      </c>
      <c r="Z197">
        <f t="shared" si="14"/>
        <v>0</v>
      </c>
      <c r="AA197">
        <f t="shared" si="15"/>
        <v>0</v>
      </c>
      <c r="AB197">
        <f>('Dota 2'!$H$10/$Z$4) * (1-($Y$9*($AA$2+J197))/($Y$7+$Y$9*ABS($AA$2+J197)) - $Z$4)</f>
        <v>0</v>
      </c>
      <c r="AC197">
        <f>IF('Dota 2'!$C$6, K197*M197*(1-$Z$3)*'Dota 2'!$H$8, K197*L197*(1-$Z$3)*'Dota 2'!$H$8)</f>
        <v>0</v>
      </c>
      <c r="AD197">
        <f>N197*O197*'Dota 2'!$H$10</f>
        <v>0</v>
      </c>
      <c r="AE197" s="2">
        <f t="shared" si="16"/>
        <v>0</v>
      </c>
      <c r="AF197" s="17">
        <f t="shared" si="17"/>
        <v>0</v>
      </c>
    </row>
    <row r="198" spans="1:32" x14ac:dyDescent="0.25">
      <c r="A198" s="6">
        <f>[1]Items!$A184</f>
        <v>0</v>
      </c>
      <c r="B198" s="16">
        <f>[1]Items!B184</f>
        <v>0</v>
      </c>
      <c r="C198" s="16">
        <f>[1]Items!C184</f>
        <v>0</v>
      </c>
      <c r="D198" s="16">
        <f>[1]Items!D184</f>
        <v>0</v>
      </c>
      <c r="E198" s="16">
        <f>[1]Items!E184</f>
        <v>0</v>
      </c>
      <c r="F198" s="16">
        <f>[1]Items!F184</f>
        <v>0</v>
      </c>
      <c r="G198" s="16">
        <f>[1]Items!G184</f>
        <v>0</v>
      </c>
      <c r="H198" s="16">
        <f>[1]Items!H184</f>
        <v>0</v>
      </c>
      <c r="I198" s="16">
        <f>[1]Items!I184</f>
        <v>0</v>
      </c>
      <c r="J198" s="16">
        <f>[1]Items!J184</f>
        <v>0</v>
      </c>
      <c r="K198" s="16">
        <f>[1]Items!K184</f>
        <v>0</v>
      </c>
      <c r="L198" s="16">
        <f>[1]Items!L184</f>
        <v>0</v>
      </c>
      <c r="M198" s="16">
        <f>[1]Items!M184</f>
        <v>0</v>
      </c>
      <c r="N198" s="16">
        <f>[1]Items!N184</f>
        <v>0</v>
      </c>
      <c r="O198" s="16">
        <f>[1]Items!O184</f>
        <v>0</v>
      </c>
      <c r="P198" s="16">
        <f>[1]Items!P184</f>
        <v>0</v>
      </c>
      <c r="Q198" s="16">
        <f>[1]Items!Q184</f>
        <v>0</v>
      </c>
      <c r="R198" s="16">
        <f>[1]Items!R184</f>
        <v>0</v>
      </c>
      <c r="S198" s="16">
        <f>[1]Items!S184</f>
        <v>0</v>
      </c>
      <c r="W198">
        <f>IF('Dota 2'!$C$6, (Items!C198+Items!E198)*Items!$X$2, (Items!C198+Items!D198)*Items!$X$2)</f>
        <v>0</v>
      </c>
      <c r="X198">
        <f t="shared" si="12"/>
        <v>0</v>
      </c>
      <c r="Y198">
        <f t="shared" si="13"/>
        <v>0</v>
      </c>
      <c r="Z198">
        <f t="shared" si="14"/>
        <v>0</v>
      </c>
      <c r="AA198">
        <f t="shared" si="15"/>
        <v>0</v>
      </c>
      <c r="AB198">
        <f>('Dota 2'!$H$10/$Z$4) * (1-($Y$9*($AA$2+J198))/($Y$7+$Y$9*ABS($AA$2+J198)) - $Z$4)</f>
        <v>0</v>
      </c>
      <c r="AC198">
        <f>IF('Dota 2'!$C$6, K198*M198*(1-$Z$3)*'Dota 2'!$H$8, K198*L198*(1-$Z$3)*'Dota 2'!$H$8)</f>
        <v>0</v>
      </c>
      <c r="AD198">
        <f>N198*O198*'Dota 2'!$H$10</f>
        <v>0</v>
      </c>
      <c r="AE198" s="2">
        <f t="shared" si="16"/>
        <v>0</v>
      </c>
      <c r="AF198" s="17">
        <f t="shared" si="17"/>
        <v>0</v>
      </c>
    </row>
    <row r="199" spans="1:32" x14ac:dyDescent="0.25">
      <c r="A199" s="6">
        <f>[1]Items!$A185</f>
        <v>0</v>
      </c>
      <c r="B199" s="16">
        <f>[1]Items!B185</f>
        <v>0</v>
      </c>
      <c r="C199" s="16">
        <f>[1]Items!C185</f>
        <v>0</v>
      </c>
      <c r="D199" s="16">
        <f>[1]Items!D185</f>
        <v>0</v>
      </c>
      <c r="E199" s="16">
        <f>[1]Items!E185</f>
        <v>0</v>
      </c>
      <c r="F199" s="16">
        <f>[1]Items!F185</f>
        <v>0</v>
      </c>
      <c r="G199" s="16">
        <f>[1]Items!G185</f>
        <v>0</v>
      </c>
      <c r="H199" s="16">
        <f>[1]Items!H185</f>
        <v>0</v>
      </c>
      <c r="I199" s="16">
        <f>[1]Items!I185</f>
        <v>0</v>
      </c>
      <c r="J199" s="16">
        <f>[1]Items!J185</f>
        <v>0</v>
      </c>
      <c r="K199" s="16">
        <f>[1]Items!K185</f>
        <v>0</v>
      </c>
      <c r="L199" s="16">
        <f>[1]Items!L185</f>
        <v>0</v>
      </c>
      <c r="M199" s="16">
        <f>[1]Items!M185</f>
        <v>0</v>
      </c>
      <c r="N199" s="16">
        <f>[1]Items!N185</f>
        <v>0</v>
      </c>
      <c r="O199" s="16">
        <f>[1]Items!O185</f>
        <v>0</v>
      </c>
      <c r="P199" s="16">
        <f>[1]Items!P185</f>
        <v>0</v>
      </c>
      <c r="Q199" s="16">
        <f>[1]Items!Q185</f>
        <v>0</v>
      </c>
      <c r="R199" s="16">
        <f>[1]Items!R185</f>
        <v>0</v>
      </c>
      <c r="S199" s="16">
        <f>[1]Items!S185</f>
        <v>0</v>
      </c>
      <c r="W199">
        <f>IF('Dota 2'!$C$6, (Items!C199+Items!E199)*Items!$X$2, (Items!C199+Items!D199)*Items!$X$2)</f>
        <v>0</v>
      </c>
      <c r="X199">
        <f t="shared" si="12"/>
        <v>0</v>
      </c>
      <c r="Y199">
        <f t="shared" si="13"/>
        <v>0</v>
      </c>
      <c r="Z199">
        <f t="shared" si="14"/>
        <v>0</v>
      </c>
      <c r="AA199">
        <f t="shared" si="15"/>
        <v>0</v>
      </c>
      <c r="AB199">
        <f>('Dota 2'!$H$10/$Z$4) * (1-($Y$9*($AA$2+J199))/($Y$7+$Y$9*ABS($AA$2+J199)) - $Z$4)</f>
        <v>0</v>
      </c>
      <c r="AC199">
        <f>IF('Dota 2'!$C$6, K199*M199*(1-$Z$3)*'Dota 2'!$H$8, K199*L199*(1-$Z$3)*'Dota 2'!$H$8)</f>
        <v>0</v>
      </c>
      <c r="AD199">
        <f>N199*O199*'Dota 2'!$H$10</f>
        <v>0</v>
      </c>
      <c r="AE199" s="2">
        <f t="shared" si="16"/>
        <v>0</v>
      </c>
      <c r="AF199" s="17">
        <f t="shared" si="17"/>
        <v>0</v>
      </c>
    </row>
    <row r="200" spans="1:32" x14ac:dyDescent="0.25">
      <c r="A200" s="6">
        <f>[1]Items!$A186</f>
        <v>0</v>
      </c>
      <c r="B200" s="16">
        <f>[1]Items!B186</f>
        <v>0</v>
      </c>
      <c r="C200" s="16">
        <f>[1]Items!C186</f>
        <v>0</v>
      </c>
      <c r="D200" s="16">
        <f>[1]Items!D186</f>
        <v>0</v>
      </c>
      <c r="E200" s="16">
        <f>[1]Items!E186</f>
        <v>0</v>
      </c>
      <c r="F200" s="16">
        <f>[1]Items!F186</f>
        <v>0</v>
      </c>
      <c r="G200" s="16">
        <f>[1]Items!G186</f>
        <v>0</v>
      </c>
      <c r="H200" s="16">
        <f>[1]Items!H186</f>
        <v>0</v>
      </c>
      <c r="I200" s="16">
        <f>[1]Items!I186</f>
        <v>0</v>
      </c>
      <c r="J200" s="16">
        <f>[1]Items!J186</f>
        <v>0</v>
      </c>
      <c r="K200" s="16">
        <f>[1]Items!K186</f>
        <v>0</v>
      </c>
      <c r="L200" s="16">
        <f>[1]Items!L186</f>
        <v>0</v>
      </c>
      <c r="M200" s="16">
        <f>[1]Items!M186</f>
        <v>0</v>
      </c>
      <c r="N200" s="16">
        <f>[1]Items!N186</f>
        <v>0</v>
      </c>
      <c r="O200" s="16">
        <f>[1]Items!O186</f>
        <v>0</v>
      </c>
      <c r="P200" s="16">
        <f>[1]Items!P186</f>
        <v>0</v>
      </c>
      <c r="Q200" s="16">
        <f>[1]Items!Q186</f>
        <v>0</v>
      </c>
      <c r="R200" s="16">
        <f>[1]Items!R186</f>
        <v>0</v>
      </c>
      <c r="S200" s="16">
        <f>[1]Items!S186</f>
        <v>0</v>
      </c>
      <c r="W200">
        <f>IF('Dota 2'!$C$6, (Items!C200+Items!E200)*Items!$X$2, (Items!C200+Items!D200)*Items!$X$2)</f>
        <v>0</v>
      </c>
      <c r="X200">
        <f t="shared" si="12"/>
        <v>0</v>
      </c>
      <c r="Y200">
        <f t="shared" si="13"/>
        <v>0</v>
      </c>
      <c r="Z200">
        <f t="shared" si="14"/>
        <v>0</v>
      </c>
      <c r="AA200">
        <f t="shared" si="15"/>
        <v>0</v>
      </c>
      <c r="AB200">
        <f>('Dota 2'!$H$10/$Z$4) * (1-($Y$9*($AA$2+J200))/($Y$7+$Y$9*ABS($AA$2+J200)) - $Z$4)</f>
        <v>0</v>
      </c>
      <c r="AC200">
        <f>IF('Dota 2'!$C$6, K200*M200*(1-$Z$3)*'Dota 2'!$H$8, K200*L200*(1-$Z$3)*'Dota 2'!$H$8)</f>
        <v>0</v>
      </c>
      <c r="AD200">
        <f>N200*O200*'Dota 2'!$H$10</f>
        <v>0</v>
      </c>
      <c r="AE200" s="2">
        <f t="shared" si="16"/>
        <v>0</v>
      </c>
      <c r="AF200" s="17">
        <f t="shared" si="17"/>
        <v>0</v>
      </c>
    </row>
    <row r="201" spans="1:32" x14ac:dyDescent="0.25">
      <c r="A201" s="6">
        <f>[1]Items!$A187</f>
        <v>0</v>
      </c>
      <c r="B201" s="16">
        <f>[1]Items!B187</f>
        <v>0</v>
      </c>
      <c r="C201" s="16">
        <f>[1]Items!C187</f>
        <v>0</v>
      </c>
      <c r="D201" s="16">
        <f>[1]Items!D187</f>
        <v>0</v>
      </c>
      <c r="E201" s="16">
        <f>[1]Items!E187</f>
        <v>0</v>
      </c>
      <c r="F201" s="16">
        <f>[1]Items!F187</f>
        <v>0</v>
      </c>
      <c r="G201" s="16">
        <f>[1]Items!G187</f>
        <v>0</v>
      </c>
      <c r="H201" s="16">
        <f>[1]Items!H187</f>
        <v>0</v>
      </c>
      <c r="I201" s="16">
        <f>[1]Items!I187</f>
        <v>0</v>
      </c>
      <c r="J201" s="16">
        <f>[1]Items!J187</f>
        <v>0</v>
      </c>
      <c r="K201" s="16">
        <f>[1]Items!K187</f>
        <v>0</v>
      </c>
      <c r="L201" s="16">
        <f>[1]Items!L187</f>
        <v>0</v>
      </c>
      <c r="M201" s="16">
        <f>[1]Items!M187</f>
        <v>0</v>
      </c>
      <c r="N201" s="16">
        <f>[1]Items!N187</f>
        <v>0</v>
      </c>
      <c r="O201" s="16">
        <f>[1]Items!O187</f>
        <v>0</v>
      </c>
      <c r="P201" s="16">
        <f>[1]Items!P187</f>
        <v>0</v>
      </c>
      <c r="Q201" s="16">
        <f>[1]Items!Q187</f>
        <v>0</v>
      </c>
      <c r="R201" s="16">
        <f>[1]Items!R187</f>
        <v>0</v>
      </c>
      <c r="S201" s="16">
        <f>[1]Items!S187</f>
        <v>0</v>
      </c>
      <c r="W201">
        <f>IF('Dota 2'!$C$6, (Items!C201+Items!E201)*Items!$X$2, (Items!C201+Items!D201)*Items!$X$2)</f>
        <v>0</v>
      </c>
      <c r="X201">
        <f t="shared" si="12"/>
        <v>0</v>
      </c>
      <c r="Y201">
        <f t="shared" si="13"/>
        <v>0</v>
      </c>
      <c r="Z201">
        <f t="shared" si="14"/>
        <v>0</v>
      </c>
      <c r="AA201">
        <f t="shared" si="15"/>
        <v>0</v>
      </c>
      <c r="AB201">
        <f>('Dota 2'!$H$10/$Z$4) * (1-($Y$9*($AA$2+J201))/($Y$7+$Y$9*ABS($AA$2+J201)) - $Z$4)</f>
        <v>0</v>
      </c>
      <c r="AC201">
        <f>IF('Dota 2'!$C$6, K201*M201*(1-$Z$3)*'Dota 2'!$H$8, K201*L201*(1-$Z$3)*'Dota 2'!$H$8)</f>
        <v>0</v>
      </c>
      <c r="AD201">
        <f>N201*O201*'Dota 2'!$H$10</f>
        <v>0</v>
      </c>
      <c r="AE201" s="2">
        <f t="shared" si="16"/>
        <v>0</v>
      </c>
      <c r="AF201" s="17">
        <f t="shared" si="17"/>
        <v>0</v>
      </c>
    </row>
    <row r="202" spans="1:32" x14ac:dyDescent="0.25">
      <c r="A202" s="6">
        <f>[1]Items!$A188</f>
        <v>0</v>
      </c>
      <c r="B202" s="16">
        <f>[1]Items!B188</f>
        <v>0</v>
      </c>
      <c r="C202" s="16">
        <f>[1]Items!C188</f>
        <v>0</v>
      </c>
      <c r="D202" s="16">
        <f>[1]Items!D188</f>
        <v>0</v>
      </c>
      <c r="E202" s="16">
        <f>[1]Items!E188</f>
        <v>0</v>
      </c>
      <c r="F202" s="16">
        <f>[1]Items!F188</f>
        <v>0</v>
      </c>
      <c r="G202" s="16">
        <f>[1]Items!G188</f>
        <v>0</v>
      </c>
      <c r="H202" s="16">
        <f>[1]Items!H188</f>
        <v>0</v>
      </c>
      <c r="I202" s="16">
        <f>[1]Items!I188</f>
        <v>0</v>
      </c>
      <c r="J202" s="16">
        <f>[1]Items!J188</f>
        <v>0</v>
      </c>
      <c r="K202" s="16">
        <f>[1]Items!K188</f>
        <v>0</v>
      </c>
      <c r="L202" s="16">
        <f>[1]Items!L188</f>
        <v>0</v>
      </c>
      <c r="M202" s="16">
        <f>[1]Items!M188</f>
        <v>0</v>
      </c>
      <c r="N202" s="16">
        <f>[1]Items!N188</f>
        <v>0</v>
      </c>
      <c r="O202" s="16">
        <f>[1]Items!O188</f>
        <v>0</v>
      </c>
      <c r="P202" s="16">
        <f>[1]Items!P188</f>
        <v>0</v>
      </c>
      <c r="Q202" s="16">
        <f>[1]Items!Q188</f>
        <v>0</v>
      </c>
      <c r="R202" s="16">
        <f>[1]Items!R188</f>
        <v>0</v>
      </c>
      <c r="S202" s="16">
        <f>[1]Items!S188</f>
        <v>0</v>
      </c>
      <c r="W202">
        <f>IF('Dota 2'!$C$6, (Items!C202+Items!E202)*Items!$X$2, (Items!C202+Items!D202)*Items!$X$2)</f>
        <v>0</v>
      </c>
      <c r="X202">
        <f t="shared" si="12"/>
        <v>0</v>
      </c>
      <c r="Y202">
        <f t="shared" si="13"/>
        <v>0</v>
      </c>
      <c r="Z202">
        <f t="shared" si="14"/>
        <v>0</v>
      </c>
      <c r="AA202">
        <f t="shared" si="15"/>
        <v>0</v>
      </c>
      <c r="AB202">
        <f>('Dota 2'!$H$10/$Z$4) * (1-($Y$9*($AA$2+J202))/($Y$7+$Y$9*ABS($AA$2+J202)) - $Z$4)</f>
        <v>0</v>
      </c>
      <c r="AC202">
        <f>IF('Dota 2'!$C$6, K202*M202*(1-$Z$3)*'Dota 2'!$H$8, K202*L202*(1-$Z$3)*'Dota 2'!$H$8)</f>
        <v>0</v>
      </c>
      <c r="AD202">
        <f>N202*O202*'Dota 2'!$H$10</f>
        <v>0</v>
      </c>
      <c r="AE202" s="2">
        <f t="shared" si="16"/>
        <v>0</v>
      </c>
      <c r="AF202" s="17">
        <f t="shared" si="17"/>
        <v>0</v>
      </c>
    </row>
    <row r="203" spans="1:32" x14ac:dyDescent="0.25">
      <c r="A203" s="6">
        <f>[1]Items!$A189</f>
        <v>0</v>
      </c>
      <c r="B203" s="16">
        <f>[1]Items!B189</f>
        <v>0</v>
      </c>
      <c r="C203" s="16">
        <f>[1]Items!C189</f>
        <v>0</v>
      </c>
      <c r="D203" s="16">
        <f>[1]Items!D189</f>
        <v>0</v>
      </c>
      <c r="E203" s="16">
        <f>[1]Items!E189</f>
        <v>0</v>
      </c>
      <c r="F203" s="16">
        <f>[1]Items!F189</f>
        <v>0</v>
      </c>
      <c r="G203" s="16">
        <f>[1]Items!G189</f>
        <v>0</v>
      </c>
      <c r="H203" s="16">
        <f>[1]Items!H189</f>
        <v>0</v>
      </c>
      <c r="I203" s="16">
        <f>[1]Items!I189</f>
        <v>0</v>
      </c>
      <c r="J203" s="16">
        <f>[1]Items!J189</f>
        <v>0</v>
      </c>
      <c r="K203" s="16">
        <f>[1]Items!K189</f>
        <v>0</v>
      </c>
      <c r="L203" s="16">
        <f>[1]Items!L189</f>
        <v>0</v>
      </c>
      <c r="M203" s="16">
        <f>[1]Items!M189</f>
        <v>0</v>
      </c>
      <c r="N203" s="16">
        <f>[1]Items!N189</f>
        <v>0</v>
      </c>
      <c r="O203" s="16">
        <f>[1]Items!O189</f>
        <v>0</v>
      </c>
      <c r="P203" s="16">
        <f>[1]Items!P189</f>
        <v>0</v>
      </c>
      <c r="Q203" s="16">
        <f>[1]Items!Q189</f>
        <v>0</v>
      </c>
      <c r="R203" s="16">
        <f>[1]Items!R189</f>
        <v>0</v>
      </c>
      <c r="S203" s="16">
        <f>[1]Items!S189</f>
        <v>0</v>
      </c>
      <c r="W203">
        <f>IF('Dota 2'!$C$6, (Items!C203+Items!E203)*Items!$X$2, (Items!C203+Items!D203)*Items!$X$2)</f>
        <v>0</v>
      </c>
      <c r="X203">
        <f t="shared" si="12"/>
        <v>0</v>
      </c>
      <c r="Y203">
        <f t="shared" si="13"/>
        <v>0</v>
      </c>
      <c r="Z203">
        <f t="shared" si="14"/>
        <v>0</v>
      </c>
      <c r="AA203">
        <f t="shared" si="15"/>
        <v>0</v>
      </c>
      <c r="AB203">
        <f>('Dota 2'!$H$10/$Z$4) * (1-($Y$9*($AA$2+J203))/($Y$7+$Y$9*ABS($AA$2+J203)) - $Z$4)</f>
        <v>0</v>
      </c>
      <c r="AC203">
        <f>IF('Dota 2'!$C$6, K203*M203*(1-$Z$3)*'Dota 2'!$H$8, K203*L203*(1-$Z$3)*'Dota 2'!$H$8)</f>
        <v>0</v>
      </c>
      <c r="AD203">
        <f>N203*O203*'Dota 2'!$H$10</f>
        <v>0</v>
      </c>
      <c r="AE203" s="2">
        <f t="shared" si="16"/>
        <v>0</v>
      </c>
      <c r="AF203" s="17">
        <f t="shared" si="17"/>
        <v>0</v>
      </c>
    </row>
    <row r="204" spans="1:32" x14ac:dyDescent="0.25">
      <c r="A204" s="6">
        <f>[1]Items!$A190</f>
        <v>0</v>
      </c>
      <c r="B204" s="16">
        <f>[1]Items!B190</f>
        <v>0</v>
      </c>
      <c r="C204" s="16">
        <f>[1]Items!C190</f>
        <v>0</v>
      </c>
      <c r="D204" s="16">
        <f>[1]Items!D190</f>
        <v>0</v>
      </c>
      <c r="E204" s="16">
        <f>[1]Items!E190</f>
        <v>0</v>
      </c>
      <c r="F204" s="16">
        <f>[1]Items!F190</f>
        <v>0</v>
      </c>
      <c r="G204" s="16">
        <f>[1]Items!G190</f>
        <v>0</v>
      </c>
      <c r="H204" s="16">
        <f>[1]Items!H190</f>
        <v>0</v>
      </c>
      <c r="I204" s="16">
        <f>[1]Items!I190</f>
        <v>0</v>
      </c>
      <c r="J204" s="16">
        <f>[1]Items!J190</f>
        <v>0</v>
      </c>
      <c r="K204" s="16">
        <f>[1]Items!K190</f>
        <v>0</v>
      </c>
      <c r="L204" s="16">
        <f>[1]Items!L190</f>
        <v>0</v>
      </c>
      <c r="M204" s="16">
        <f>[1]Items!M190</f>
        <v>0</v>
      </c>
      <c r="N204" s="16">
        <f>[1]Items!N190</f>
        <v>0</v>
      </c>
      <c r="O204" s="16">
        <f>[1]Items!O190</f>
        <v>0</v>
      </c>
      <c r="P204" s="16">
        <f>[1]Items!P190</f>
        <v>0</v>
      </c>
      <c r="Q204" s="16">
        <f>[1]Items!Q190</f>
        <v>0</v>
      </c>
      <c r="R204" s="16">
        <f>[1]Items!R190</f>
        <v>0</v>
      </c>
      <c r="S204" s="16">
        <f>[1]Items!S190</f>
        <v>0</v>
      </c>
      <c r="W204">
        <f>IF('Dota 2'!$C$6, (Items!C204+Items!E204)*Items!$X$2, (Items!C204+Items!D204)*Items!$X$2)</f>
        <v>0</v>
      </c>
      <c r="X204">
        <f t="shared" si="12"/>
        <v>0</v>
      </c>
      <c r="Y204">
        <f t="shared" si="13"/>
        <v>0</v>
      </c>
      <c r="Z204">
        <f t="shared" si="14"/>
        <v>0</v>
      </c>
      <c r="AA204">
        <f t="shared" si="15"/>
        <v>0</v>
      </c>
      <c r="AB204">
        <f>('Dota 2'!$H$10/$Z$4) * (1-($Y$9*($AA$2+J204))/($Y$7+$Y$9*ABS($AA$2+J204)) - $Z$4)</f>
        <v>0</v>
      </c>
      <c r="AC204">
        <f>IF('Dota 2'!$C$6, K204*M204*(1-$Z$3)*'Dota 2'!$H$8, K204*L204*(1-$Z$3)*'Dota 2'!$H$8)</f>
        <v>0</v>
      </c>
      <c r="AD204">
        <f>N204*O204*'Dota 2'!$H$10</f>
        <v>0</v>
      </c>
      <c r="AE204" s="2">
        <f t="shared" si="16"/>
        <v>0</v>
      </c>
      <c r="AF204" s="17">
        <f t="shared" si="17"/>
        <v>0</v>
      </c>
    </row>
    <row r="205" spans="1:32" x14ac:dyDescent="0.25">
      <c r="A205" s="6">
        <f>[1]Items!$A191</f>
        <v>0</v>
      </c>
      <c r="B205" s="16">
        <f>[1]Items!B191</f>
        <v>0</v>
      </c>
      <c r="C205" s="16">
        <f>[1]Items!C191</f>
        <v>0</v>
      </c>
      <c r="D205" s="16">
        <f>[1]Items!D191</f>
        <v>0</v>
      </c>
      <c r="E205" s="16">
        <f>[1]Items!E191</f>
        <v>0</v>
      </c>
      <c r="F205" s="16">
        <f>[1]Items!F191</f>
        <v>0</v>
      </c>
      <c r="G205" s="16">
        <f>[1]Items!G191</f>
        <v>0</v>
      </c>
      <c r="H205" s="16">
        <f>[1]Items!H191</f>
        <v>0</v>
      </c>
      <c r="I205" s="16">
        <f>[1]Items!I191</f>
        <v>0</v>
      </c>
      <c r="J205" s="16">
        <f>[1]Items!J191</f>
        <v>0</v>
      </c>
      <c r="K205" s="16">
        <f>[1]Items!K191</f>
        <v>0</v>
      </c>
      <c r="L205" s="16">
        <f>[1]Items!L191</f>
        <v>0</v>
      </c>
      <c r="M205" s="16">
        <f>[1]Items!M191</f>
        <v>0</v>
      </c>
      <c r="N205" s="16">
        <f>[1]Items!N191</f>
        <v>0</v>
      </c>
      <c r="O205" s="16">
        <f>[1]Items!O191</f>
        <v>0</v>
      </c>
      <c r="P205" s="16">
        <f>[1]Items!P191</f>
        <v>0</v>
      </c>
      <c r="Q205" s="16">
        <f>[1]Items!Q191</f>
        <v>0</v>
      </c>
      <c r="R205" s="16">
        <f>[1]Items!R191</f>
        <v>0</v>
      </c>
      <c r="S205" s="16">
        <f>[1]Items!S191</f>
        <v>0</v>
      </c>
      <c r="W205">
        <f>IF('Dota 2'!$C$6, (Items!C205+Items!E205)*Items!$X$2, (Items!C205+Items!D205)*Items!$X$2)</f>
        <v>0</v>
      </c>
      <c r="X205">
        <f t="shared" si="12"/>
        <v>0</v>
      </c>
      <c r="Y205">
        <f t="shared" si="13"/>
        <v>0</v>
      </c>
      <c r="Z205">
        <f t="shared" si="14"/>
        <v>0</v>
      </c>
      <c r="AA205">
        <f t="shared" si="15"/>
        <v>0</v>
      </c>
      <c r="AB205">
        <f>('Dota 2'!$H$10/$Z$4) * (1-($Y$9*($AA$2+J205))/($Y$7+$Y$9*ABS($AA$2+J205)) - $Z$4)</f>
        <v>0</v>
      </c>
      <c r="AC205">
        <f>IF('Dota 2'!$C$6, K205*M205*(1-$Z$3)*'Dota 2'!$H$8, K205*L205*(1-$Z$3)*'Dota 2'!$H$8)</f>
        <v>0</v>
      </c>
      <c r="AD205">
        <f>N205*O205*'Dota 2'!$H$10</f>
        <v>0</v>
      </c>
      <c r="AE205" s="2">
        <f t="shared" si="16"/>
        <v>0</v>
      </c>
      <c r="AF205" s="17">
        <f t="shared" si="17"/>
        <v>0</v>
      </c>
    </row>
    <row r="206" spans="1:32" x14ac:dyDescent="0.25">
      <c r="A206" s="6">
        <f>[1]Items!$A192</f>
        <v>0</v>
      </c>
      <c r="B206" s="16">
        <f>[1]Items!B192</f>
        <v>0</v>
      </c>
      <c r="C206" s="16">
        <f>[1]Items!C192</f>
        <v>0</v>
      </c>
      <c r="D206" s="16">
        <f>[1]Items!D192</f>
        <v>0</v>
      </c>
      <c r="E206" s="16">
        <f>[1]Items!E192</f>
        <v>0</v>
      </c>
      <c r="F206" s="16">
        <f>[1]Items!F192</f>
        <v>0</v>
      </c>
      <c r="G206" s="16">
        <f>[1]Items!G192</f>
        <v>0</v>
      </c>
      <c r="H206" s="16">
        <f>[1]Items!H192</f>
        <v>0</v>
      </c>
      <c r="I206" s="16">
        <f>[1]Items!I192</f>
        <v>0</v>
      </c>
      <c r="J206" s="16">
        <f>[1]Items!J192</f>
        <v>0</v>
      </c>
      <c r="K206" s="16">
        <f>[1]Items!K192</f>
        <v>0</v>
      </c>
      <c r="L206" s="16">
        <f>[1]Items!L192</f>
        <v>0</v>
      </c>
      <c r="M206" s="16">
        <f>[1]Items!M192</f>
        <v>0</v>
      </c>
      <c r="N206" s="16">
        <f>[1]Items!N192</f>
        <v>0</v>
      </c>
      <c r="O206" s="16">
        <f>[1]Items!O192</f>
        <v>0</v>
      </c>
      <c r="P206" s="16">
        <f>[1]Items!P192</f>
        <v>0</v>
      </c>
      <c r="Q206" s="16">
        <f>[1]Items!Q192</f>
        <v>0</v>
      </c>
      <c r="R206" s="16">
        <f>[1]Items!R192</f>
        <v>0</v>
      </c>
      <c r="S206" s="16">
        <f>[1]Items!S192</f>
        <v>0</v>
      </c>
      <c r="W206">
        <f>IF('Dota 2'!$C$6, (Items!C206+Items!E206)*Items!$X$2, (Items!C206+Items!D206)*Items!$X$2)</f>
        <v>0</v>
      </c>
      <c r="X206">
        <f t="shared" si="12"/>
        <v>0</v>
      </c>
      <c r="Y206">
        <f t="shared" si="13"/>
        <v>0</v>
      </c>
      <c r="Z206">
        <f t="shared" si="14"/>
        <v>0</v>
      </c>
      <c r="AA206">
        <f t="shared" si="15"/>
        <v>0</v>
      </c>
      <c r="AB206">
        <f>('Dota 2'!$H$10/$Z$4) * (1-($Y$9*($AA$2+J206))/($Y$7+$Y$9*ABS($AA$2+J206)) - $Z$4)</f>
        <v>0</v>
      </c>
      <c r="AC206">
        <f>IF('Dota 2'!$C$6, K206*M206*(1-$Z$3)*'Dota 2'!$H$8, K206*L206*(1-$Z$3)*'Dota 2'!$H$8)</f>
        <v>0</v>
      </c>
      <c r="AD206">
        <f>N206*O206*'Dota 2'!$H$10</f>
        <v>0</v>
      </c>
      <c r="AE206" s="2">
        <f t="shared" si="16"/>
        <v>0</v>
      </c>
      <c r="AF206" s="17">
        <f t="shared" si="17"/>
        <v>0</v>
      </c>
    </row>
    <row r="207" spans="1:32" x14ac:dyDescent="0.25">
      <c r="A207" s="6">
        <f>[1]Items!$A193</f>
        <v>0</v>
      </c>
      <c r="B207" s="16">
        <f>[1]Items!B193</f>
        <v>0</v>
      </c>
      <c r="C207" s="16">
        <f>[1]Items!C193</f>
        <v>0</v>
      </c>
      <c r="D207" s="16">
        <f>[1]Items!D193</f>
        <v>0</v>
      </c>
      <c r="E207" s="16">
        <f>[1]Items!E193</f>
        <v>0</v>
      </c>
      <c r="F207" s="16">
        <f>[1]Items!F193</f>
        <v>0</v>
      </c>
      <c r="G207" s="16">
        <f>[1]Items!G193</f>
        <v>0</v>
      </c>
      <c r="H207" s="16">
        <f>[1]Items!H193</f>
        <v>0</v>
      </c>
      <c r="I207" s="16">
        <f>[1]Items!I193</f>
        <v>0</v>
      </c>
      <c r="J207" s="16">
        <f>[1]Items!J193</f>
        <v>0</v>
      </c>
      <c r="K207" s="16">
        <f>[1]Items!K193</f>
        <v>0</v>
      </c>
      <c r="L207" s="16">
        <f>[1]Items!L193</f>
        <v>0</v>
      </c>
      <c r="M207" s="16">
        <f>[1]Items!M193</f>
        <v>0</v>
      </c>
      <c r="N207" s="16">
        <f>[1]Items!N193</f>
        <v>0</v>
      </c>
      <c r="O207" s="16">
        <f>[1]Items!O193</f>
        <v>0</v>
      </c>
      <c r="P207" s="16">
        <f>[1]Items!P193</f>
        <v>0</v>
      </c>
      <c r="Q207" s="16">
        <f>[1]Items!Q193</f>
        <v>0</v>
      </c>
      <c r="R207" s="16">
        <f>[1]Items!R193</f>
        <v>0</v>
      </c>
      <c r="S207" s="16">
        <f>[1]Items!S193</f>
        <v>0</v>
      </c>
      <c r="W207">
        <f>IF('Dota 2'!$C$6, (Items!C207+Items!E207)*Items!$X$2, (Items!C207+Items!D207)*Items!$X$2)</f>
        <v>0</v>
      </c>
      <c r="X207">
        <f t="shared" ref="X207:X270" si="18">F207*$X$3</f>
        <v>0</v>
      </c>
      <c r="Y207">
        <f t="shared" si="13"/>
        <v>0</v>
      </c>
      <c r="Z207">
        <f t="shared" si="14"/>
        <v>0</v>
      </c>
      <c r="AA207">
        <f t="shared" si="15"/>
        <v>0</v>
      </c>
      <c r="AB207">
        <f>('Dota 2'!$H$10/$Z$4) * (1-($Y$9*($AA$2+J207))/($Y$7+$Y$9*ABS($AA$2+J207)) - $Z$4)</f>
        <v>0</v>
      </c>
      <c r="AC207">
        <f>IF('Dota 2'!$C$6, K207*M207*(1-$Z$3)*'Dota 2'!$H$8, K207*L207*(1-$Z$3)*'Dota 2'!$H$8)</f>
        <v>0</v>
      </c>
      <c r="AD207">
        <f>N207*O207*'Dota 2'!$H$10</f>
        <v>0</v>
      </c>
      <c r="AE207" s="2">
        <f t="shared" si="16"/>
        <v>0</v>
      </c>
      <c r="AF207" s="17">
        <f t="shared" si="17"/>
        <v>0</v>
      </c>
    </row>
    <row r="208" spans="1:32" x14ac:dyDescent="0.25">
      <c r="A208" s="6">
        <f>[1]Items!$A194</f>
        <v>0</v>
      </c>
      <c r="B208" s="16">
        <f>[1]Items!B194</f>
        <v>0</v>
      </c>
      <c r="C208" s="16">
        <f>[1]Items!C194</f>
        <v>0</v>
      </c>
      <c r="D208" s="16">
        <f>[1]Items!D194</f>
        <v>0</v>
      </c>
      <c r="E208" s="16">
        <f>[1]Items!E194</f>
        <v>0</v>
      </c>
      <c r="F208" s="16">
        <f>[1]Items!F194</f>
        <v>0</v>
      </c>
      <c r="G208" s="16">
        <f>[1]Items!G194</f>
        <v>0</v>
      </c>
      <c r="H208" s="16">
        <f>[1]Items!H194</f>
        <v>0</v>
      </c>
      <c r="I208" s="16">
        <f>[1]Items!I194</f>
        <v>0</v>
      </c>
      <c r="J208" s="16">
        <f>[1]Items!J194</f>
        <v>0</v>
      </c>
      <c r="K208" s="16">
        <f>[1]Items!K194</f>
        <v>0</v>
      </c>
      <c r="L208" s="16">
        <f>[1]Items!L194</f>
        <v>0</v>
      </c>
      <c r="M208" s="16">
        <f>[1]Items!M194</f>
        <v>0</v>
      </c>
      <c r="N208" s="16">
        <f>[1]Items!N194</f>
        <v>0</v>
      </c>
      <c r="O208" s="16">
        <f>[1]Items!O194</f>
        <v>0</v>
      </c>
      <c r="P208" s="16">
        <f>[1]Items!P194</f>
        <v>0</v>
      </c>
      <c r="Q208" s="16">
        <f>[1]Items!Q194</f>
        <v>0</v>
      </c>
      <c r="R208" s="16">
        <f>[1]Items!R194</f>
        <v>0</v>
      </c>
      <c r="S208" s="16">
        <f>[1]Items!S194</f>
        <v>0</v>
      </c>
      <c r="W208">
        <f>IF('Dota 2'!$C$6, (Items!C208+Items!E208)*Items!$X$2, (Items!C208+Items!D208)*Items!$X$2)</f>
        <v>0</v>
      </c>
      <c r="X208">
        <f t="shared" si="18"/>
        <v>0</v>
      </c>
      <c r="Y208">
        <f t="shared" ref="Y208:Y271" si="19">G208*$X$4</f>
        <v>0</v>
      </c>
      <c r="Z208">
        <f t="shared" ref="Z208:Z271" si="20">H208*$X$5</f>
        <v>0</v>
      </c>
      <c r="AA208">
        <f t="shared" ref="AA208:AA271" si="21">I208*$X$6</f>
        <v>0</v>
      </c>
      <c r="AB208">
        <f>('Dota 2'!$H$10/$Z$4) * (1-($Y$9*($AA$2+J208))/($Y$7+$Y$9*ABS($AA$2+J208)) - $Z$4)</f>
        <v>0</v>
      </c>
      <c r="AC208">
        <f>IF('Dota 2'!$C$6, K208*M208*(1-$Z$3)*'Dota 2'!$H$8, K208*L208*(1-$Z$3)*'Dota 2'!$H$8)</f>
        <v>0</v>
      </c>
      <c r="AD208">
        <f>N208*O208*'Dota 2'!$H$10</f>
        <v>0</v>
      </c>
      <c r="AE208" s="2">
        <f t="shared" ref="AE208:AE271" si="22">SUM(W208:AD208)</f>
        <v>0</v>
      </c>
      <c r="AF208" s="17">
        <f t="shared" ref="AF208:AF271" si="23">IFERROR(AE208/B208, 0)</f>
        <v>0</v>
      </c>
    </row>
    <row r="209" spans="1:32" x14ac:dyDescent="0.25">
      <c r="A209" s="6">
        <f>[1]Items!$A195</f>
        <v>0</v>
      </c>
      <c r="B209" s="16">
        <f>[1]Items!B195</f>
        <v>0</v>
      </c>
      <c r="C209" s="16">
        <f>[1]Items!C195</f>
        <v>0</v>
      </c>
      <c r="D209" s="16">
        <f>[1]Items!D195</f>
        <v>0</v>
      </c>
      <c r="E209" s="16">
        <f>[1]Items!E195</f>
        <v>0</v>
      </c>
      <c r="F209" s="16">
        <f>[1]Items!F195</f>
        <v>0</v>
      </c>
      <c r="G209" s="16">
        <f>[1]Items!G195</f>
        <v>0</v>
      </c>
      <c r="H209" s="16">
        <f>[1]Items!H195</f>
        <v>0</v>
      </c>
      <c r="I209" s="16">
        <f>[1]Items!I195</f>
        <v>0</v>
      </c>
      <c r="J209" s="16">
        <f>[1]Items!J195</f>
        <v>0</v>
      </c>
      <c r="K209" s="16">
        <f>[1]Items!K195</f>
        <v>0</v>
      </c>
      <c r="L209" s="16">
        <f>[1]Items!L195</f>
        <v>0</v>
      </c>
      <c r="M209" s="16">
        <f>[1]Items!M195</f>
        <v>0</v>
      </c>
      <c r="N209" s="16">
        <f>[1]Items!N195</f>
        <v>0</v>
      </c>
      <c r="O209" s="16">
        <f>[1]Items!O195</f>
        <v>0</v>
      </c>
      <c r="P209" s="16">
        <f>[1]Items!P195</f>
        <v>0</v>
      </c>
      <c r="Q209" s="16">
        <f>[1]Items!Q195</f>
        <v>0</v>
      </c>
      <c r="R209" s="16">
        <f>[1]Items!R195</f>
        <v>0</v>
      </c>
      <c r="S209" s="16">
        <f>[1]Items!S195</f>
        <v>0</v>
      </c>
      <c r="W209">
        <f>IF('Dota 2'!$C$6, (Items!C209+Items!E209)*Items!$X$2, (Items!C209+Items!D209)*Items!$X$2)</f>
        <v>0</v>
      </c>
      <c r="X209">
        <f t="shared" si="18"/>
        <v>0</v>
      </c>
      <c r="Y209">
        <f t="shared" si="19"/>
        <v>0</v>
      </c>
      <c r="Z209">
        <f t="shared" si="20"/>
        <v>0</v>
      </c>
      <c r="AA209">
        <f t="shared" si="21"/>
        <v>0</v>
      </c>
      <c r="AB209">
        <f>('Dota 2'!$H$10/$Z$4) * (1-($Y$9*($AA$2+J209))/($Y$7+$Y$9*ABS($AA$2+J209)) - $Z$4)</f>
        <v>0</v>
      </c>
      <c r="AC209">
        <f>IF('Dota 2'!$C$6, K209*M209*(1-$Z$3)*'Dota 2'!$H$8, K209*L209*(1-$Z$3)*'Dota 2'!$H$8)</f>
        <v>0</v>
      </c>
      <c r="AD209">
        <f>N209*O209*'Dota 2'!$H$10</f>
        <v>0</v>
      </c>
      <c r="AE209" s="2">
        <f t="shared" si="22"/>
        <v>0</v>
      </c>
      <c r="AF209" s="17">
        <f t="shared" si="23"/>
        <v>0</v>
      </c>
    </row>
    <row r="210" spans="1:32" x14ac:dyDescent="0.25">
      <c r="A210" s="6">
        <f>[1]Items!$A196</f>
        <v>0</v>
      </c>
      <c r="B210" s="16">
        <f>[1]Items!B196</f>
        <v>0</v>
      </c>
      <c r="C210" s="16">
        <f>[1]Items!C196</f>
        <v>0</v>
      </c>
      <c r="D210" s="16">
        <f>[1]Items!D196</f>
        <v>0</v>
      </c>
      <c r="E210" s="16">
        <f>[1]Items!E196</f>
        <v>0</v>
      </c>
      <c r="F210" s="16">
        <f>[1]Items!F196</f>
        <v>0</v>
      </c>
      <c r="G210" s="16">
        <f>[1]Items!G196</f>
        <v>0</v>
      </c>
      <c r="H210" s="16">
        <f>[1]Items!H196</f>
        <v>0</v>
      </c>
      <c r="I210" s="16">
        <f>[1]Items!I196</f>
        <v>0</v>
      </c>
      <c r="J210" s="16">
        <f>[1]Items!J196</f>
        <v>0</v>
      </c>
      <c r="K210" s="16">
        <f>[1]Items!K196</f>
        <v>0</v>
      </c>
      <c r="L210" s="16">
        <f>[1]Items!L196</f>
        <v>0</v>
      </c>
      <c r="M210" s="16">
        <f>[1]Items!M196</f>
        <v>0</v>
      </c>
      <c r="N210" s="16">
        <f>[1]Items!N196</f>
        <v>0</v>
      </c>
      <c r="O210" s="16">
        <f>[1]Items!O196</f>
        <v>0</v>
      </c>
      <c r="P210" s="16">
        <f>[1]Items!P196</f>
        <v>0</v>
      </c>
      <c r="Q210" s="16">
        <f>[1]Items!Q196</f>
        <v>0</v>
      </c>
      <c r="R210" s="16">
        <f>[1]Items!R196</f>
        <v>0</v>
      </c>
      <c r="S210" s="16">
        <f>[1]Items!S196</f>
        <v>0</v>
      </c>
      <c r="W210">
        <f>IF('Dota 2'!$C$6, (Items!C210+Items!E210)*Items!$X$2, (Items!C210+Items!D210)*Items!$X$2)</f>
        <v>0</v>
      </c>
      <c r="X210">
        <f t="shared" si="18"/>
        <v>0</v>
      </c>
      <c r="Y210">
        <f t="shared" si="19"/>
        <v>0</v>
      </c>
      <c r="Z210">
        <f t="shared" si="20"/>
        <v>0</v>
      </c>
      <c r="AA210">
        <f t="shared" si="21"/>
        <v>0</v>
      </c>
      <c r="AB210">
        <f>('Dota 2'!$H$10/$Z$4) * (1-($Y$9*($AA$2+J210))/($Y$7+$Y$9*ABS($AA$2+J210)) - $Z$4)</f>
        <v>0</v>
      </c>
      <c r="AC210">
        <f>IF('Dota 2'!$C$6, K210*M210*(1-$Z$3)*'Dota 2'!$H$8, K210*L210*(1-$Z$3)*'Dota 2'!$H$8)</f>
        <v>0</v>
      </c>
      <c r="AD210">
        <f>N210*O210*'Dota 2'!$H$10</f>
        <v>0</v>
      </c>
      <c r="AE210" s="2">
        <f t="shared" si="22"/>
        <v>0</v>
      </c>
      <c r="AF210" s="17">
        <f t="shared" si="23"/>
        <v>0</v>
      </c>
    </row>
    <row r="211" spans="1:32" x14ac:dyDescent="0.25">
      <c r="A211" s="6">
        <f>[1]Items!$A197</f>
        <v>0</v>
      </c>
      <c r="B211" s="16">
        <f>[1]Items!B197</f>
        <v>0</v>
      </c>
      <c r="C211" s="16">
        <f>[1]Items!C197</f>
        <v>0</v>
      </c>
      <c r="D211" s="16">
        <f>[1]Items!D197</f>
        <v>0</v>
      </c>
      <c r="E211" s="16">
        <f>[1]Items!E197</f>
        <v>0</v>
      </c>
      <c r="F211" s="16">
        <f>[1]Items!F197</f>
        <v>0</v>
      </c>
      <c r="G211" s="16">
        <f>[1]Items!G197</f>
        <v>0</v>
      </c>
      <c r="H211" s="16">
        <f>[1]Items!H197</f>
        <v>0</v>
      </c>
      <c r="I211" s="16">
        <f>[1]Items!I197</f>
        <v>0</v>
      </c>
      <c r="J211" s="16">
        <f>[1]Items!J197</f>
        <v>0</v>
      </c>
      <c r="K211" s="16">
        <f>[1]Items!K197</f>
        <v>0</v>
      </c>
      <c r="L211" s="16">
        <f>[1]Items!L197</f>
        <v>0</v>
      </c>
      <c r="M211" s="16">
        <f>[1]Items!M197</f>
        <v>0</v>
      </c>
      <c r="N211" s="16">
        <f>[1]Items!N197</f>
        <v>0</v>
      </c>
      <c r="O211" s="16">
        <f>[1]Items!O197</f>
        <v>0</v>
      </c>
      <c r="P211" s="16">
        <f>[1]Items!P197</f>
        <v>0</v>
      </c>
      <c r="Q211" s="16">
        <f>[1]Items!Q197</f>
        <v>0</v>
      </c>
      <c r="R211" s="16">
        <f>[1]Items!R197</f>
        <v>0</v>
      </c>
      <c r="S211" s="16">
        <f>[1]Items!S197</f>
        <v>0</v>
      </c>
      <c r="W211">
        <f>IF('Dota 2'!$C$6, (Items!C211+Items!E211)*Items!$X$2, (Items!C211+Items!D211)*Items!$X$2)</f>
        <v>0</v>
      </c>
      <c r="X211">
        <f t="shared" si="18"/>
        <v>0</v>
      </c>
      <c r="Y211">
        <f t="shared" si="19"/>
        <v>0</v>
      </c>
      <c r="Z211">
        <f t="shared" si="20"/>
        <v>0</v>
      </c>
      <c r="AA211">
        <f t="shared" si="21"/>
        <v>0</v>
      </c>
      <c r="AB211">
        <f>('Dota 2'!$H$10/$Z$4) * (1-($Y$9*($AA$2+J211))/($Y$7+$Y$9*ABS($AA$2+J211)) - $Z$4)</f>
        <v>0</v>
      </c>
      <c r="AC211">
        <f>IF('Dota 2'!$C$6, K211*M211*(1-$Z$3)*'Dota 2'!$H$8, K211*L211*(1-$Z$3)*'Dota 2'!$H$8)</f>
        <v>0</v>
      </c>
      <c r="AD211">
        <f>N211*O211*'Dota 2'!$H$10</f>
        <v>0</v>
      </c>
      <c r="AE211" s="2">
        <f t="shared" si="22"/>
        <v>0</v>
      </c>
      <c r="AF211" s="17">
        <f t="shared" si="23"/>
        <v>0</v>
      </c>
    </row>
    <row r="212" spans="1:32" x14ac:dyDescent="0.25">
      <c r="A212" s="6">
        <f>[1]Items!$A198</f>
        <v>0</v>
      </c>
      <c r="B212" s="16">
        <f>[1]Items!B198</f>
        <v>0</v>
      </c>
      <c r="C212" s="16">
        <f>[1]Items!C198</f>
        <v>0</v>
      </c>
      <c r="D212" s="16">
        <f>[1]Items!D198</f>
        <v>0</v>
      </c>
      <c r="E212" s="16">
        <f>[1]Items!E198</f>
        <v>0</v>
      </c>
      <c r="F212" s="16">
        <f>[1]Items!F198</f>
        <v>0</v>
      </c>
      <c r="G212" s="16">
        <f>[1]Items!G198</f>
        <v>0</v>
      </c>
      <c r="H212" s="16">
        <f>[1]Items!H198</f>
        <v>0</v>
      </c>
      <c r="I212" s="16">
        <f>[1]Items!I198</f>
        <v>0</v>
      </c>
      <c r="J212" s="16">
        <f>[1]Items!J198</f>
        <v>0</v>
      </c>
      <c r="K212" s="16">
        <f>[1]Items!K198</f>
        <v>0</v>
      </c>
      <c r="L212" s="16">
        <f>[1]Items!L198</f>
        <v>0</v>
      </c>
      <c r="M212" s="16">
        <f>[1]Items!M198</f>
        <v>0</v>
      </c>
      <c r="N212" s="16">
        <f>[1]Items!N198</f>
        <v>0</v>
      </c>
      <c r="O212" s="16">
        <f>[1]Items!O198</f>
        <v>0</v>
      </c>
      <c r="P212" s="16">
        <f>[1]Items!P198</f>
        <v>0</v>
      </c>
      <c r="Q212" s="16">
        <f>[1]Items!Q198</f>
        <v>0</v>
      </c>
      <c r="R212" s="16">
        <f>[1]Items!R198</f>
        <v>0</v>
      </c>
      <c r="S212" s="16">
        <f>[1]Items!S198</f>
        <v>0</v>
      </c>
      <c r="W212">
        <f>IF('Dota 2'!$C$6, (Items!C212+Items!E212)*Items!$X$2, (Items!C212+Items!D212)*Items!$X$2)</f>
        <v>0</v>
      </c>
      <c r="X212">
        <f t="shared" si="18"/>
        <v>0</v>
      </c>
      <c r="Y212">
        <f t="shared" si="19"/>
        <v>0</v>
      </c>
      <c r="Z212">
        <f t="shared" si="20"/>
        <v>0</v>
      </c>
      <c r="AA212">
        <f t="shared" si="21"/>
        <v>0</v>
      </c>
      <c r="AB212">
        <f>('Dota 2'!$H$10/$Z$4) * (1-($Y$9*($AA$2+J212))/($Y$7+$Y$9*ABS($AA$2+J212)) - $Z$4)</f>
        <v>0</v>
      </c>
      <c r="AC212">
        <f>IF('Dota 2'!$C$6, K212*M212*(1-$Z$3)*'Dota 2'!$H$8, K212*L212*(1-$Z$3)*'Dota 2'!$H$8)</f>
        <v>0</v>
      </c>
      <c r="AD212">
        <f>N212*O212*'Dota 2'!$H$10</f>
        <v>0</v>
      </c>
      <c r="AE212" s="2">
        <f t="shared" si="22"/>
        <v>0</v>
      </c>
      <c r="AF212" s="17">
        <f t="shared" si="23"/>
        <v>0</v>
      </c>
    </row>
    <row r="213" spans="1:32" x14ac:dyDescent="0.25">
      <c r="A213" s="6">
        <f>[1]Items!$A199</f>
        <v>0</v>
      </c>
      <c r="B213" s="16">
        <f>[1]Items!B199</f>
        <v>0</v>
      </c>
      <c r="C213" s="16">
        <f>[1]Items!C199</f>
        <v>0</v>
      </c>
      <c r="D213" s="16">
        <f>[1]Items!D199</f>
        <v>0</v>
      </c>
      <c r="E213" s="16">
        <f>[1]Items!E199</f>
        <v>0</v>
      </c>
      <c r="F213" s="16">
        <f>[1]Items!F199</f>
        <v>0</v>
      </c>
      <c r="G213" s="16">
        <f>[1]Items!G199</f>
        <v>0</v>
      </c>
      <c r="H213" s="16">
        <f>[1]Items!H199</f>
        <v>0</v>
      </c>
      <c r="I213" s="16">
        <f>[1]Items!I199</f>
        <v>0</v>
      </c>
      <c r="J213" s="16">
        <f>[1]Items!J199</f>
        <v>0</v>
      </c>
      <c r="K213" s="16">
        <f>[1]Items!K199</f>
        <v>0</v>
      </c>
      <c r="L213" s="16">
        <f>[1]Items!L199</f>
        <v>0</v>
      </c>
      <c r="M213" s="16">
        <f>[1]Items!M199</f>
        <v>0</v>
      </c>
      <c r="N213" s="16">
        <f>[1]Items!N199</f>
        <v>0</v>
      </c>
      <c r="O213" s="16">
        <f>[1]Items!O199</f>
        <v>0</v>
      </c>
      <c r="P213" s="16">
        <f>[1]Items!P199</f>
        <v>0</v>
      </c>
      <c r="Q213" s="16">
        <f>[1]Items!Q199</f>
        <v>0</v>
      </c>
      <c r="R213" s="16">
        <f>[1]Items!R199</f>
        <v>0</v>
      </c>
      <c r="S213" s="16">
        <f>[1]Items!S199</f>
        <v>0</v>
      </c>
      <c r="W213">
        <f>IF('Dota 2'!$C$6, (Items!C213+Items!E213)*Items!$X$2, (Items!C213+Items!D213)*Items!$X$2)</f>
        <v>0</v>
      </c>
      <c r="X213">
        <f t="shared" si="18"/>
        <v>0</v>
      </c>
      <c r="Y213">
        <f t="shared" si="19"/>
        <v>0</v>
      </c>
      <c r="Z213">
        <f t="shared" si="20"/>
        <v>0</v>
      </c>
      <c r="AA213">
        <f t="shared" si="21"/>
        <v>0</v>
      </c>
      <c r="AB213">
        <f>('Dota 2'!$H$10/$Z$4) * (1-($Y$9*($AA$2+J213))/($Y$7+$Y$9*ABS($AA$2+J213)) - $Z$4)</f>
        <v>0</v>
      </c>
      <c r="AC213">
        <f>IF('Dota 2'!$C$6, K213*M213*(1-$Z$3)*'Dota 2'!$H$8, K213*L213*(1-$Z$3)*'Dota 2'!$H$8)</f>
        <v>0</v>
      </c>
      <c r="AD213">
        <f>N213*O213*'Dota 2'!$H$10</f>
        <v>0</v>
      </c>
      <c r="AE213" s="2">
        <f t="shared" si="22"/>
        <v>0</v>
      </c>
      <c r="AF213" s="17">
        <f t="shared" si="23"/>
        <v>0</v>
      </c>
    </row>
    <row r="214" spans="1:32" x14ac:dyDescent="0.25">
      <c r="A214" s="6">
        <f>[1]Items!$A200</f>
        <v>0</v>
      </c>
      <c r="B214" s="16">
        <f>[1]Items!B200</f>
        <v>0</v>
      </c>
      <c r="C214" s="16">
        <f>[1]Items!C200</f>
        <v>0</v>
      </c>
      <c r="D214" s="16">
        <f>[1]Items!D200</f>
        <v>0</v>
      </c>
      <c r="E214" s="16">
        <f>[1]Items!E200</f>
        <v>0</v>
      </c>
      <c r="F214" s="16">
        <f>[1]Items!F200</f>
        <v>0</v>
      </c>
      <c r="G214" s="16">
        <f>[1]Items!G200</f>
        <v>0</v>
      </c>
      <c r="H214" s="16">
        <f>[1]Items!H200</f>
        <v>0</v>
      </c>
      <c r="I214" s="16">
        <f>[1]Items!I200</f>
        <v>0</v>
      </c>
      <c r="J214" s="16">
        <f>[1]Items!J200</f>
        <v>0</v>
      </c>
      <c r="K214" s="16">
        <f>[1]Items!K200</f>
        <v>0</v>
      </c>
      <c r="L214" s="16">
        <f>[1]Items!L200</f>
        <v>0</v>
      </c>
      <c r="M214" s="16">
        <f>[1]Items!M200</f>
        <v>0</v>
      </c>
      <c r="N214" s="16">
        <f>[1]Items!N200</f>
        <v>0</v>
      </c>
      <c r="O214" s="16">
        <f>[1]Items!O200</f>
        <v>0</v>
      </c>
      <c r="P214" s="16">
        <f>[1]Items!P200</f>
        <v>0</v>
      </c>
      <c r="Q214" s="16">
        <f>[1]Items!Q200</f>
        <v>0</v>
      </c>
      <c r="R214" s="16">
        <f>[1]Items!R200</f>
        <v>0</v>
      </c>
      <c r="S214" s="16">
        <f>[1]Items!S200</f>
        <v>0</v>
      </c>
      <c r="W214">
        <f>IF('Dota 2'!$C$6, (Items!C214+Items!E214)*Items!$X$2, (Items!C214+Items!D214)*Items!$X$2)</f>
        <v>0</v>
      </c>
      <c r="X214">
        <f t="shared" si="18"/>
        <v>0</v>
      </c>
      <c r="Y214">
        <f t="shared" si="19"/>
        <v>0</v>
      </c>
      <c r="Z214">
        <f t="shared" si="20"/>
        <v>0</v>
      </c>
      <c r="AA214">
        <f t="shared" si="21"/>
        <v>0</v>
      </c>
      <c r="AB214">
        <f>('Dota 2'!$H$10/$Z$4) * (1-($Y$9*($AA$2+J214))/($Y$7+$Y$9*ABS($AA$2+J214)) - $Z$4)</f>
        <v>0</v>
      </c>
      <c r="AC214">
        <f>IF('Dota 2'!$C$6, K214*M214*(1-$Z$3)*'Dota 2'!$H$8, K214*L214*(1-$Z$3)*'Dota 2'!$H$8)</f>
        <v>0</v>
      </c>
      <c r="AD214">
        <f>N214*O214*'Dota 2'!$H$10</f>
        <v>0</v>
      </c>
      <c r="AE214" s="2">
        <f t="shared" si="22"/>
        <v>0</v>
      </c>
      <c r="AF214" s="17">
        <f t="shared" si="23"/>
        <v>0</v>
      </c>
    </row>
    <row r="215" spans="1:32" x14ac:dyDescent="0.25">
      <c r="A215" s="6">
        <f>[1]Items!$A201</f>
        <v>0</v>
      </c>
      <c r="B215" s="16">
        <f>[1]Items!B201</f>
        <v>0</v>
      </c>
      <c r="C215" s="16">
        <f>[1]Items!C201</f>
        <v>0</v>
      </c>
      <c r="D215" s="16">
        <f>[1]Items!D201</f>
        <v>0</v>
      </c>
      <c r="E215" s="16">
        <f>[1]Items!E201</f>
        <v>0</v>
      </c>
      <c r="F215" s="16">
        <f>[1]Items!F201</f>
        <v>0</v>
      </c>
      <c r="G215" s="16">
        <f>[1]Items!G201</f>
        <v>0</v>
      </c>
      <c r="H215" s="16">
        <f>[1]Items!H201</f>
        <v>0</v>
      </c>
      <c r="I215" s="16">
        <f>[1]Items!I201</f>
        <v>0</v>
      </c>
      <c r="J215" s="16">
        <f>[1]Items!J201</f>
        <v>0</v>
      </c>
      <c r="K215" s="16">
        <f>[1]Items!K201</f>
        <v>0</v>
      </c>
      <c r="L215" s="16">
        <f>[1]Items!L201</f>
        <v>0</v>
      </c>
      <c r="M215" s="16">
        <f>[1]Items!M201</f>
        <v>0</v>
      </c>
      <c r="N215" s="16">
        <f>[1]Items!N201</f>
        <v>0</v>
      </c>
      <c r="O215" s="16">
        <f>[1]Items!O201</f>
        <v>0</v>
      </c>
      <c r="P215" s="16">
        <f>[1]Items!P201</f>
        <v>0</v>
      </c>
      <c r="Q215" s="16">
        <f>[1]Items!Q201</f>
        <v>0</v>
      </c>
      <c r="R215" s="16">
        <f>[1]Items!R201</f>
        <v>0</v>
      </c>
      <c r="S215" s="16">
        <f>[1]Items!S201</f>
        <v>0</v>
      </c>
      <c r="W215">
        <f>IF('Dota 2'!$C$6, (Items!C215+Items!E215)*Items!$X$2, (Items!C215+Items!D215)*Items!$X$2)</f>
        <v>0</v>
      </c>
      <c r="X215">
        <f t="shared" si="18"/>
        <v>0</v>
      </c>
      <c r="Y215">
        <f t="shared" si="19"/>
        <v>0</v>
      </c>
      <c r="Z215">
        <f t="shared" si="20"/>
        <v>0</v>
      </c>
      <c r="AA215">
        <f t="shared" si="21"/>
        <v>0</v>
      </c>
      <c r="AB215">
        <f>('Dota 2'!$H$10/$Z$4) * (1-($Y$9*($AA$2+J215))/($Y$7+$Y$9*ABS($AA$2+J215)) - $Z$4)</f>
        <v>0</v>
      </c>
      <c r="AC215">
        <f>IF('Dota 2'!$C$6, K215*M215*(1-$Z$3)*'Dota 2'!$H$8, K215*L215*(1-$Z$3)*'Dota 2'!$H$8)</f>
        <v>0</v>
      </c>
      <c r="AD215">
        <f>N215*O215*'Dota 2'!$H$10</f>
        <v>0</v>
      </c>
      <c r="AE215" s="2">
        <f t="shared" si="22"/>
        <v>0</v>
      </c>
      <c r="AF215" s="17">
        <f t="shared" si="23"/>
        <v>0</v>
      </c>
    </row>
    <row r="216" spans="1:32" x14ac:dyDescent="0.25">
      <c r="A216" s="6">
        <f>[1]Items!$A202</f>
        <v>0</v>
      </c>
      <c r="B216" s="16">
        <f>[1]Items!B202</f>
        <v>0</v>
      </c>
      <c r="C216" s="16">
        <f>[1]Items!C202</f>
        <v>0</v>
      </c>
      <c r="D216" s="16">
        <f>[1]Items!D202</f>
        <v>0</v>
      </c>
      <c r="E216" s="16">
        <f>[1]Items!E202</f>
        <v>0</v>
      </c>
      <c r="F216" s="16">
        <f>[1]Items!F202</f>
        <v>0</v>
      </c>
      <c r="G216" s="16">
        <f>[1]Items!G202</f>
        <v>0</v>
      </c>
      <c r="H216" s="16">
        <f>[1]Items!H202</f>
        <v>0</v>
      </c>
      <c r="I216" s="16">
        <f>[1]Items!I202</f>
        <v>0</v>
      </c>
      <c r="J216" s="16">
        <f>[1]Items!J202</f>
        <v>0</v>
      </c>
      <c r="K216" s="16">
        <f>[1]Items!K202</f>
        <v>0</v>
      </c>
      <c r="L216" s="16">
        <f>[1]Items!L202</f>
        <v>0</v>
      </c>
      <c r="M216" s="16">
        <f>[1]Items!M202</f>
        <v>0</v>
      </c>
      <c r="N216" s="16">
        <f>[1]Items!N202</f>
        <v>0</v>
      </c>
      <c r="O216" s="16">
        <f>[1]Items!O202</f>
        <v>0</v>
      </c>
      <c r="P216" s="16">
        <f>[1]Items!P202</f>
        <v>0</v>
      </c>
      <c r="Q216" s="16">
        <f>[1]Items!Q202</f>
        <v>0</v>
      </c>
      <c r="R216" s="16">
        <f>[1]Items!R202</f>
        <v>0</v>
      </c>
      <c r="S216" s="16">
        <f>[1]Items!S202</f>
        <v>0</v>
      </c>
      <c r="W216">
        <f>IF('Dota 2'!$C$6, (Items!C216+Items!E216)*Items!$X$2, (Items!C216+Items!D216)*Items!$X$2)</f>
        <v>0</v>
      </c>
      <c r="X216">
        <f t="shared" si="18"/>
        <v>0</v>
      </c>
      <c r="Y216">
        <f t="shared" si="19"/>
        <v>0</v>
      </c>
      <c r="Z216">
        <f t="shared" si="20"/>
        <v>0</v>
      </c>
      <c r="AA216">
        <f t="shared" si="21"/>
        <v>0</v>
      </c>
      <c r="AB216">
        <f>('Dota 2'!$H$10/$Z$4) * (1-($Y$9*($AA$2+J216))/($Y$7+$Y$9*ABS($AA$2+J216)) - $Z$4)</f>
        <v>0</v>
      </c>
      <c r="AC216">
        <f>IF('Dota 2'!$C$6, K216*M216*(1-$Z$3)*'Dota 2'!$H$8, K216*L216*(1-$Z$3)*'Dota 2'!$H$8)</f>
        <v>0</v>
      </c>
      <c r="AD216">
        <f>N216*O216*'Dota 2'!$H$10</f>
        <v>0</v>
      </c>
      <c r="AE216" s="2">
        <f t="shared" si="22"/>
        <v>0</v>
      </c>
      <c r="AF216" s="17">
        <f t="shared" si="23"/>
        <v>0</v>
      </c>
    </row>
    <row r="217" spans="1:32" x14ac:dyDescent="0.25">
      <c r="A217" s="6">
        <f>[1]Items!$A203</f>
        <v>0</v>
      </c>
      <c r="B217" s="16">
        <f>[1]Items!B203</f>
        <v>0</v>
      </c>
      <c r="C217" s="16">
        <f>[1]Items!C203</f>
        <v>0</v>
      </c>
      <c r="D217" s="16">
        <f>[1]Items!D203</f>
        <v>0</v>
      </c>
      <c r="E217" s="16">
        <f>[1]Items!E203</f>
        <v>0</v>
      </c>
      <c r="F217" s="16">
        <f>[1]Items!F203</f>
        <v>0</v>
      </c>
      <c r="G217" s="16">
        <f>[1]Items!G203</f>
        <v>0</v>
      </c>
      <c r="H217" s="16">
        <f>[1]Items!H203</f>
        <v>0</v>
      </c>
      <c r="I217" s="16">
        <f>[1]Items!I203</f>
        <v>0</v>
      </c>
      <c r="J217" s="16">
        <f>[1]Items!J203</f>
        <v>0</v>
      </c>
      <c r="K217" s="16">
        <f>[1]Items!K203</f>
        <v>0</v>
      </c>
      <c r="L217" s="16">
        <f>[1]Items!L203</f>
        <v>0</v>
      </c>
      <c r="M217" s="16">
        <f>[1]Items!M203</f>
        <v>0</v>
      </c>
      <c r="N217" s="16">
        <f>[1]Items!N203</f>
        <v>0</v>
      </c>
      <c r="O217" s="16">
        <f>[1]Items!O203</f>
        <v>0</v>
      </c>
      <c r="P217" s="16">
        <f>[1]Items!P203</f>
        <v>0</v>
      </c>
      <c r="Q217" s="16">
        <f>[1]Items!Q203</f>
        <v>0</v>
      </c>
      <c r="R217" s="16">
        <f>[1]Items!R203</f>
        <v>0</v>
      </c>
      <c r="S217" s="16">
        <f>[1]Items!S203</f>
        <v>0</v>
      </c>
      <c r="W217">
        <f>IF('Dota 2'!$C$6, (Items!C217+Items!E217)*Items!$X$2, (Items!C217+Items!D217)*Items!$X$2)</f>
        <v>0</v>
      </c>
      <c r="X217">
        <f t="shared" si="18"/>
        <v>0</v>
      </c>
      <c r="Y217">
        <f t="shared" si="19"/>
        <v>0</v>
      </c>
      <c r="Z217">
        <f t="shared" si="20"/>
        <v>0</v>
      </c>
      <c r="AA217">
        <f t="shared" si="21"/>
        <v>0</v>
      </c>
      <c r="AB217">
        <f>('Dota 2'!$H$10/$Z$4) * (1-($Y$9*($AA$2+J217))/($Y$7+$Y$9*ABS($AA$2+J217)) - $Z$4)</f>
        <v>0</v>
      </c>
      <c r="AC217">
        <f>IF('Dota 2'!$C$6, K217*M217*(1-$Z$3)*'Dota 2'!$H$8, K217*L217*(1-$Z$3)*'Dota 2'!$H$8)</f>
        <v>0</v>
      </c>
      <c r="AD217">
        <f>N217*O217*'Dota 2'!$H$10</f>
        <v>0</v>
      </c>
      <c r="AE217" s="2">
        <f t="shared" si="22"/>
        <v>0</v>
      </c>
      <c r="AF217" s="17">
        <f t="shared" si="23"/>
        <v>0</v>
      </c>
    </row>
    <row r="218" spans="1:32" x14ac:dyDescent="0.25">
      <c r="A218" s="6">
        <f>[1]Items!$A204</f>
        <v>0</v>
      </c>
      <c r="B218" s="16">
        <f>[1]Items!B204</f>
        <v>0</v>
      </c>
      <c r="C218" s="16">
        <f>[1]Items!C204</f>
        <v>0</v>
      </c>
      <c r="D218" s="16">
        <f>[1]Items!D204</f>
        <v>0</v>
      </c>
      <c r="E218" s="16">
        <f>[1]Items!E204</f>
        <v>0</v>
      </c>
      <c r="F218" s="16">
        <f>[1]Items!F204</f>
        <v>0</v>
      </c>
      <c r="G218" s="16">
        <f>[1]Items!G204</f>
        <v>0</v>
      </c>
      <c r="H218" s="16">
        <f>[1]Items!H204</f>
        <v>0</v>
      </c>
      <c r="I218" s="16">
        <f>[1]Items!I204</f>
        <v>0</v>
      </c>
      <c r="J218" s="16">
        <f>[1]Items!J204</f>
        <v>0</v>
      </c>
      <c r="K218" s="16">
        <f>[1]Items!K204</f>
        <v>0</v>
      </c>
      <c r="L218" s="16">
        <f>[1]Items!L204</f>
        <v>0</v>
      </c>
      <c r="M218" s="16">
        <f>[1]Items!M204</f>
        <v>0</v>
      </c>
      <c r="N218" s="16">
        <f>[1]Items!N204</f>
        <v>0</v>
      </c>
      <c r="O218" s="16">
        <f>[1]Items!O204</f>
        <v>0</v>
      </c>
      <c r="P218" s="16">
        <f>[1]Items!P204</f>
        <v>0</v>
      </c>
      <c r="Q218" s="16">
        <f>[1]Items!Q204</f>
        <v>0</v>
      </c>
      <c r="R218" s="16">
        <f>[1]Items!R204</f>
        <v>0</v>
      </c>
      <c r="S218" s="16">
        <f>[1]Items!S204</f>
        <v>0</v>
      </c>
      <c r="W218">
        <f>IF('Dota 2'!$C$6, (Items!C218+Items!E218)*Items!$X$2, (Items!C218+Items!D218)*Items!$X$2)</f>
        <v>0</v>
      </c>
      <c r="X218">
        <f t="shared" si="18"/>
        <v>0</v>
      </c>
      <c r="Y218">
        <f t="shared" si="19"/>
        <v>0</v>
      </c>
      <c r="Z218">
        <f t="shared" si="20"/>
        <v>0</v>
      </c>
      <c r="AA218">
        <f t="shared" si="21"/>
        <v>0</v>
      </c>
      <c r="AB218">
        <f>('Dota 2'!$H$10/$Z$4) * (1-($Y$9*($AA$2+J218))/($Y$7+$Y$9*ABS($AA$2+J218)) - $Z$4)</f>
        <v>0</v>
      </c>
      <c r="AC218">
        <f>IF('Dota 2'!$C$6, K218*M218*(1-$Z$3)*'Dota 2'!$H$8, K218*L218*(1-$Z$3)*'Dota 2'!$H$8)</f>
        <v>0</v>
      </c>
      <c r="AD218">
        <f>N218*O218*'Dota 2'!$H$10</f>
        <v>0</v>
      </c>
      <c r="AE218" s="2">
        <f t="shared" si="22"/>
        <v>0</v>
      </c>
      <c r="AF218" s="17">
        <f t="shared" si="23"/>
        <v>0</v>
      </c>
    </row>
    <row r="219" spans="1:32" x14ac:dyDescent="0.25">
      <c r="A219" s="6">
        <f>[1]Items!$A205</f>
        <v>0</v>
      </c>
      <c r="B219" s="16">
        <f>[1]Items!B205</f>
        <v>0</v>
      </c>
      <c r="C219" s="16">
        <f>[1]Items!C205</f>
        <v>0</v>
      </c>
      <c r="D219" s="16">
        <f>[1]Items!D205</f>
        <v>0</v>
      </c>
      <c r="E219" s="16">
        <f>[1]Items!E205</f>
        <v>0</v>
      </c>
      <c r="F219" s="16">
        <f>[1]Items!F205</f>
        <v>0</v>
      </c>
      <c r="G219" s="16">
        <f>[1]Items!G205</f>
        <v>0</v>
      </c>
      <c r="H219" s="16">
        <f>[1]Items!H205</f>
        <v>0</v>
      </c>
      <c r="I219" s="16">
        <f>[1]Items!I205</f>
        <v>0</v>
      </c>
      <c r="J219" s="16">
        <f>[1]Items!J205</f>
        <v>0</v>
      </c>
      <c r="K219" s="16">
        <f>[1]Items!K205</f>
        <v>0</v>
      </c>
      <c r="L219" s="16">
        <f>[1]Items!L205</f>
        <v>0</v>
      </c>
      <c r="M219" s="16">
        <f>[1]Items!M205</f>
        <v>0</v>
      </c>
      <c r="N219" s="16">
        <f>[1]Items!N205</f>
        <v>0</v>
      </c>
      <c r="O219" s="16">
        <f>[1]Items!O205</f>
        <v>0</v>
      </c>
      <c r="P219" s="16">
        <f>[1]Items!P205</f>
        <v>0</v>
      </c>
      <c r="Q219" s="16">
        <f>[1]Items!Q205</f>
        <v>0</v>
      </c>
      <c r="R219" s="16">
        <f>[1]Items!R205</f>
        <v>0</v>
      </c>
      <c r="S219" s="16">
        <f>[1]Items!S205</f>
        <v>0</v>
      </c>
      <c r="W219">
        <f>IF('Dota 2'!$C$6, (Items!C219+Items!E219)*Items!$X$2, (Items!C219+Items!D219)*Items!$X$2)</f>
        <v>0</v>
      </c>
      <c r="X219">
        <f t="shared" si="18"/>
        <v>0</v>
      </c>
      <c r="Y219">
        <f t="shared" si="19"/>
        <v>0</v>
      </c>
      <c r="Z219">
        <f t="shared" si="20"/>
        <v>0</v>
      </c>
      <c r="AA219">
        <f t="shared" si="21"/>
        <v>0</v>
      </c>
      <c r="AB219">
        <f>('Dota 2'!$H$10/$Z$4) * (1-($Y$9*($AA$2+J219))/($Y$7+$Y$9*ABS($AA$2+J219)) - $Z$4)</f>
        <v>0</v>
      </c>
      <c r="AC219">
        <f>IF('Dota 2'!$C$6, K219*M219*(1-$Z$3)*'Dota 2'!$H$8, K219*L219*(1-$Z$3)*'Dota 2'!$H$8)</f>
        <v>0</v>
      </c>
      <c r="AD219">
        <f>N219*O219*'Dota 2'!$H$10</f>
        <v>0</v>
      </c>
      <c r="AE219" s="2">
        <f t="shared" si="22"/>
        <v>0</v>
      </c>
      <c r="AF219" s="17">
        <f t="shared" si="23"/>
        <v>0</v>
      </c>
    </row>
    <row r="220" spans="1:32" x14ac:dyDescent="0.25">
      <c r="A220" s="6">
        <f>[1]Items!$A206</f>
        <v>0</v>
      </c>
      <c r="B220" s="16">
        <f>[1]Items!B206</f>
        <v>0</v>
      </c>
      <c r="C220" s="16">
        <f>[1]Items!C206</f>
        <v>0</v>
      </c>
      <c r="D220" s="16">
        <f>[1]Items!D206</f>
        <v>0</v>
      </c>
      <c r="E220" s="16">
        <f>[1]Items!E206</f>
        <v>0</v>
      </c>
      <c r="F220" s="16">
        <f>[1]Items!F206</f>
        <v>0</v>
      </c>
      <c r="G220" s="16">
        <f>[1]Items!G206</f>
        <v>0</v>
      </c>
      <c r="H220" s="16">
        <f>[1]Items!H206</f>
        <v>0</v>
      </c>
      <c r="I220" s="16">
        <f>[1]Items!I206</f>
        <v>0</v>
      </c>
      <c r="J220" s="16">
        <f>[1]Items!J206</f>
        <v>0</v>
      </c>
      <c r="K220" s="16">
        <f>[1]Items!K206</f>
        <v>0</v>
      </c>
      <c r="L220" s="16">
        <f>[1]Items!L206</f>
        <v>0</v>
      </c>
      <c r="M220" s="16">
        <f>[1]Items!M206</f>
        <v>0</v>
      </c>
      <c r="N220" s="16">
        <f>[1]Items!N206</f>
        <v>0</v>
      </c>
      <c r="O220" s="16">
        <f>[1]Items!O206</f>
        <v>0</v>
      </c>
      <c r="P220" s="16">
        <f>[1]Items!P206</f>
        <v>0</v>
      </c>
      <c r="Q220" s="16">
        <f>[1]Items!Q206</f>
        <v>0</v>
      </c>
      <c r="R220" s="16">
        <f>[1]Items!R206</f>
        <v>0</v>
      </c>
      <c r="S220" s="16">
        <f>[1]Items!S206</f>
        <v>0</v>
      </c>
      <c r="W220">
        <f>IF('Dota 2'!$C$6, (Items!C220+Items!E220)*Items!$X$2, (Items!C220+Items!D220)*Items!$X$2)</f>
        <v>0</v>
      </c>
      <c r="X220">
        <f t="shared" si="18"/>
        <v>0</v>
      </c>
      <c r="Y220">
        <f t="shared" si="19"/>
        <v>0</v>
      </c>
      <c r="Z220">
        <f t="shared" si="20"/>
        <v>0</v>
      </c>
      <c r="AA220">
        <f t="shared" si="21"/>
        <v>0</v>
      </c>
      <c r="AB220">
        <f>('Dota 2'!$H$10/$Z$4) * (1-($Y$9*($AA$2+J220))/($Y$7+$Y$9*ABS($AA$2+J220)) - $Z$4)</f>
        <v>0</v>
      </c>
      <c r="AC220">
        <f>IF('Dota 2'!$C$6, K220*M220*(1-$Z$3)*'Dota 2'!$H$8, K220*L220*(1-$Z$3)*'Dota 2'!$H$8)</f>
        <v>0</v>
      </c>
      <c r="AD220">
        <f>N220*O220*'Dota 2'!$H$10</f>
        <v>0</v>
      </c>
      <c r="AE220" s="2">
        <f t="shared" si="22"/>
        <v>0</v>
      </c>
      <c r="AF220" s="17">
        <f t="shared" si="23"/>
        <v>0</v>
      </c>
    </row>
    <row r="221" spans="1:32" x14ac:dyDescent="0.25">
      <c r="A221" s="6">
        <f>[1]Items!$A207</f>
        <v>0</v>
      </c>
      <c r="B221" s="16">
        <f>[1]Items!B207</f>
        <v>0</v>
      </c>
      <c r="C221" s="16">
        <f>[1]Items!C207</f>
        <v>0</v>
      </c>
      <c r="D221" s="16">
        <f>[1]Items!D207</f>
        <v>0</v>
      </c>
      <c r="E221" s="16">
        <f>[1]Items!E207</f>
        <v>0</v>
      </c>
      <c r="F221" s="16">
        <f>[1]Items!F207</f>
        <v>0</v>
      </c>
      <c r="G221" s="16">
        <f>[1]Items!G207</f>
        <v>0</v>
      </c>
      <c r="H221" s="16">
        <f>[1]Items!H207</f>
        <v>0</v>
      </c>
      <c r="I221" s="16">
        <f>[1]Items!I207</f>
        <v>0</v>
      </c>
      <c r="J221" s="16">
        <f>[1]Items!J207</f>
        <v>0</v>
      </c>
      <c r="K221" s="16">
        <f>[1]Items!K207</f>
        <v>0</v>
      </c>
      <c r="L221" s="16">
        <f>[1]Items!L207</f>
        <v>0</v>
      </c>
      <c r="M221" s="16">
        <f>[1]Items!M207</f>
        <v>0</v>
      </c>
      <c r="N221" s="16">
        <f>[1]Items!N207</f>
        <v>0</v>
      </c>
      <c r="O221" s="16">
        <f>[1]Items!O207</f>
        <v>0</v>
      </c>
      <c r="P221" s="16">
        <f>[1]Items!P207</f>
        <v>0</v>
      </c>
      <c r="Q221" s="16">
        <f>[1]Items!Q207</f>
        <v>0</v>
      </c>
      <c r="R221" s="16">
        <f>[1]Items!R207</f>
        <v>0</v>
      </c>
      <c r="S221" s="16">
        <f>[1]Items!S207</f>
        <v>0</v>
      </c>
      <c r="W221">
        <f>IF('Dota 2'!$C$6, (Items!C221+Items!E221)*Items!$X$2, (Items!C221+Items!D221)*Items!$X$2)</f>
        <v>0</v>
      </c>
      <c r="X221">
        <f t="shared" si="18"/>
        <v>0</v>
      </c>
      <c r="Y221">
        <f t="shared" si="19"/>
        <v>0</v>
      </c>
      <c r="Z221">
        <f t="shared" si="20"/>
        <v>0</v>
      </c>
      <c r="AA221">
        <f t="shared" si="21"/>
        <v>0</v>
      </c>
      <c r="AB221">
        <f>('Dota 2'!$H$10/$Z$4) * (1-($Y$9*($AA$2+J221))/($Y$7+$Y$9*ABS($AA$2+J221)) - $Z$4)</f>
        <v>0</v>
      </c>
      <c r="AC221">
        <f>IF('Dota 2'!$C$6, K221*M221*(1-$Z$3)*'Dota 2'!$H$8, K221*L221*(1-$Z$3)*'Dota 2'!$H$8)</f>
        <v>0</v>
      </c>
      <c r="AD221">
        <f>N221*O221*'Dota 2'!$H$10</f>
        <v>0</v>
      </c>
      <c r="AE221" s="2">
        <f t="shared" si="22"/>
        <v>0</v>
      </c>
      <c r="AF221" s="17">
        <f t="shared" si="23"/>
        <v>0</v>
      </c>
    </row>
    <row r="222" spans="1:32" x14ac:dyDescent="0.25">
      <c r="A222" s="6">
        <f>[1]Items!$A208</f>
        <v>0</v>
      </c>
      <c r="B222" s="16">
        <f>[1]Items!B208</f>
        <v>0</v>
      </c>
      <c r="C222" s="16">
        <f>[1]Items!C208</f>
        <v>0</v>
      </c>
      <c r="D222" s="16">
        <f>[1]Items!D208</f>
        <v>0</v>
      </c>
      <c r="E222" s="16">
        <f>[1]Items!E208</f>
        <v>0</v>
      </c>
      <c r="F222" s="16">
        <f>[1]Items!F208</f>
        <v>0</v>
      </c>
      <c r="G222" s="16">
        <f>[1]Items!G208</f>
        <v>0</v>
      </c>
      <c r="H222" s="16">
        <f>[1]Items!H208</f>
        <v>0</v>
      </c>
      <c r="I222" s="16">
        <f>[1]Items!I208</f>
        <v>0</v>
      </c>
      <c r="J222" s="16">
        <f>[1]Items!J208</f>
        <v>0</v>
      </c>
      <c r="K222" s="16">
        <f>[1]Items!K208</f>
        <v>0</v>
      </c>
      <c r="L222" s="16">
        <f>[1]Items!L208</f>
        <v>0</v>
      </c>
      <c r="M222" s="16">
        <f>[1]Items!M208</f>
        <v>0</v>
      </c>
      <c r="N222" s="16">
        <f>[1]Items!N208</f>
        <v>0</v>
      </c>
      <c r="O222" s="16">
        <f>[1]Items!O208</f>
        <v>0</v>
      </c>
      <c r="P222" s="16">
        <f>[1]Items!P208</f>
        <v>0</v>
      </c>
      <c r="Q222" s="16">
        <f>[1]Items!Q208</f>
        <v>0</v>
      </c>
      <c r="R222" s="16">
        <f>[1]Items!R208</f>
        <v>0</v>
      </c>
      <c r="S222" s="16">
        <f>[1]Items!S208</f>
        <v>0</v>
      </c>
      <c r="W222">
        <f>IF('Dota 2'!$C$6, (Items!C222+Items!E222)*Items!$X$2, (Items!C222+Items!D222)*Items!$X$2)</f>
        <v>0</v>
      </c>
      <c r="X222">
        <f t="shared" si="18"/>
        <v>0</v>
      </c>
      <c r="Y222">
        <f t="shared" si="19"/>
        <v>0</v>
      </c>
      <c r="Z222">
        <f t="shared" si="20"/>
        <v>0</v>
      </c>
      <c r="AA222">
        <f t="shared" si="21"/>
        <v>0</v>
      </c>
      <c r="AB222">
        <f>('Dota 2'!$H$10/$Z$4) * (1-($Y$9*($AA$2+J222))/($Y$7+$Y$9*ABS($AA$2+J222)) - $Z$4)</f>
        <v>0</v>
      </c>
      <c r="AC222">
        <f>IF('Dota 2'!$C$6, K222*M222*(1-$Z$3)*'Dota 2'!$H$8, K222*L222*(1-$Z$3)*'Dota 2'!$H$8)</f>
        <v>0</v>
      </c>
      <c r="AD222">
        <f>N222*O222*'Dota 2'!$H$10</f>
        <v>0</v>
      </c>
      <c r="AE222" s="2">
        <f t="shared" si="22"/>
        <v>0</v>
      </c>
      <c r="AF222" s="17">
        <f t="shared" si="23"/>
        <v>0</v>
      </c>
    </row>
    <row r="223" spans="1:32" x14ac:dyDescent="0.25">
      <c r="A223" s="6">
        <f>[1]Items!$A209</f>
        <v>0</v>
      </c>
      <c r="B223" s="16">
        <f>[1]Items!B209</f>
        <v>0</v>
      </c>
      <c r="C223" s="16">
        <f>[1]Items!C209</f>
        <v>0</v>
      </c>
      <c r="D223" s="16">
        <f>[1]Items!D209</f>
        <v>0</v>
      </c>
      <c r="E223" s="16">
        <f>[1]Items!E209</f>
        <v>0</v>
      </c>
      <c r="F223" s="16">
        <f>[1]Items!F209</f>
        <v>0</v>
      </c>
      <c r="G223" s="16">
        <f>[1]Items!G209</f>
        <v>0</v>
      </c>
      <c r="H223" s="16">
        <f>[1]Items!H209</f>
        <v>0</v>
      </c>
      <c r="I223" s="16">
        <f>[1]Items!I209</f>
        <v>0</v>
      </c>
      <c r="J223" s="16">
        <f>[1]Items!J209</f>
        <v>0</v>
      </c>
      <c r="K223" s="16">
        <f>[1]Items!K209</f>
        <v>0</v>
      </c>
      <c r="L223" s="16">
        <f>[1]Items!L209</f>
        <v>0</v>
      </c>
      <c r="M223" s="16">
        <f>[1]Items!M209</f>
        <v>0</v>
      </c>
      <c r="N223" s="16">
        <f>[1]Items!N209</f>
        <v>0</v>
      </c>
      <c r="O223" s="16">
        <f>[1]Items!O209</f>
        <v>0</v>
      </c>
      <c r="P223" s="16">
        <f>[1]Items!P209</f>
        <v>0</v>
      </c>
      <c r="Q223" s="16">
        <f>[1]Items!Q209</f>
        <v>0</v>
      </c>
      <c r="R223" s="16">
        <f>[1]Items!R209</f>
        <v>0</v>
      </c>
      <c r="S223" s="16">
        <f>[1]Items!S209</f>
        <v>0</v>
      </c>
      <c r="W223">
        <f>IF('Dota 2'!$C$6, (Items!C223+Items!E223)*Items!$X$2, (Items!C223+Items!D223)*Items!$X$2)</f>
        <v>0</v>
      </c>
      <c r="X223">
        <f t="shared" si="18"/>
        <v>0</v>
      </c>
      <c r="Y223">
        <f t="shared" si="19"/>
        <v>0</v>
      </c>
      <c r="Z223">
        <f t="shared" si="20"/>
        <v>0</v>
      </c>
      <c r="AA223">
        <f t="shared" si="21"/>
        <v>0</v>
      </c>
      <c r="AB223">
        <f>('Dota 2'!$H$10/$Z$4) * (1-($Y$9*($AA$2+J223))/($Y$7+$Y$9*ABS($AA$2+J223)) - $Z$4)</f>
        <v>0</v>
      </c>
      <c r="AC223">
        <f>IF('Dota 2'!$C$6, K223*M223*(1-$Z$3)*'Dota 2'!$H$8, K223*L223*(1-$Z$3)*'Dota 2'!$H$8)</f>
        <v>0</v>
      </c>
      <c r="AD223">
        <f>N223*O223*'Dota 2'!$H$10</f>
        <v>0</v>
      </c>
      <c r="AE223" s="2">
        <f t="shared" si="22"/>
        <v>0</v>
      </c>
      <c r="AF223" s="17">
        <f t="shared" si="23"/>
        <v>0</v>
      </c>
    </row>
    <row r="224" spans="1:32" x14ac:dyDescent="0.25">
      <c r="A224" s="6">
        <f>[1]Items!$A210</f>
        <v>0</v>
      </c>
      <c r="B224" s="16">
        <f>[1]Items!B210</f>
        <v>0</v>
      </c>
      <c r="C224" s="16">
        <f>[1]Items!C210</f>
        <v>0</v>
      </c>
      <c r="D224" s="16">
        <f>[1]Items!D210</f>
        <v>0</v>
      </c>
      <c r="E224" s="16">
        <f>[1]Items!E210</f>
        <v>0</v>
      </c>
      <c r="F224" s="16">
        <f>[1]Items!F210</f>
        <v>0</v>
      </c>
      <c r="G224" s="16">
        <f>[1]Items!G210</f>
        <v>0</v>
      </c>
      <c r="H224" s="16">
        <f>[1]Items!H210</f>
        <v>0</v>
      </c>
      <c r="I224" s="16">
        <f>[1]Items!I210</f>
        <v>0</v>
      </c>
      <c r="J224" s="16">
        <f>[1]Items!J210</f>
        <v>0</v>
      </c>
      <c r="K224" s="16">
        <f>[1]Items!K210</f>
        <v>0</v>
      </c>
      <c r="L224" s="16">
        <f>[1]Items!L210</f>
        <v>0</v>
      </c>
      <c r="M224" s="16">
        <f>[1]Items!M210</f>
        <v>0</v>
      </c>
      <c r="N224" s="16">
        <f>[1]Items!N210</f>
        <v>0</v>
      </c>
      <c r="O224" s="16">
        <f>[1]Items!O210</f>
        <v>0</v>
      </c>
      <c r="P224" s="16">
        <f>[1]Items!P210</f>
        <v>0</v>
      </c>
      <c r="Q224" s="16">
        <f>[1]Items!Q210</f>
        <v>0</v>
      </c>
      <c r="R224" s="16">
        <f>[1]Items!R210</f>
        <v>0</v>
      </c>
      <c r="S224" s="16">
        <f>[1]Items!S210</f>
        <v>0</v>
      </c>
      <c r="W224">
        <f>IF('Dota 2'!$C$6, (Items!C224+Items!E224)*Items!$X$2, (Items!C224+Items!D224)*Items!$X$2)</f>
        <v>0</v>
      </c>
      <c r="X224">
        <f t="shared" si="18"/>
        <v>0</v>
      </c>
      <c r="Y224">
        <f t="shared" si="19"/>
        <v>0</v>
      </c>
      <c r="Z224">
        <f t="shared" si="20"/>
        <v>0</v>
      </c>
      <c r="AA224">
        <f t="shared" si="21"/>
        <v>0</v>
      </c>
      <c r="AB224">
        <f>('Dota 2'!$H$10/$Z$4) * (1-($Y$9*($AA$2+J224))/($Y$7+$Y$9*ABS($AA$2+J224)) - $Z$4)</f>
        <v>0</v>
      </c>
      <c r="AC224">
        <f>IF('Dota 2'!$C$6, K224*M224*(1-$Z$3)*'Dota 2'!$H$8, K224*L224*(1-$Z$3)*'Dota 2'!$H$8)</f>
        <v>0</v>
      </c>
      <c r="AD224">
        <f>N224*O224*'Dota 2'!$H$10</f>
        <v>0</v>
      </c>
      <c r="AE224" s="2">
        <f t="shared" si="22"/>
        <v>0</v>
      </c>
      <c r="AF224" s="17">
        <f t="shared" si="23"/>
        <v>0</v>
      </c>
    </row>
    <row r="225" spans="1:32" x14ac:dyDescent="0.25">
      <c r="A225" s="6">
        <f>[1]Items!$A211</f>
        <v>0</v>
      </c>
      <c r="B225" s="16">
        <f>[1]Items!B211</f>
        <v>0</v>
      </c>
      <c r="C225" s="16">
        <f>[1]Items!C211</f>
        <v>0</v>
      </c>
      <c r="D225" s="16">
        <f>[1]Items!D211</f>
        <v>0</v>
      </c>
      <c r="E225" s="16">
        <f>[1]Items!E211</f>
        <v>0</v>
      </c>
      <c r="F225" s="16">
        <f>[1]Items!F211</f>
        <v>0</v>
      </c>
      <c r="G225" s="16">
        <f>[1]Items!G211</f>
        <v>0</v>
      </c>
      <c r="H225" s="16">
        <f>[1]Items!H211</f>
        <v>0</v>
      </c>
      <c r="I225" s="16">
        <f>[1]Items!I211</f>
        <v>0</v>
      </c>
      <c r="J225" s="16">
        <f>[1]Items!J211</f>
        <v>0</v>
      </c>
      <c r="K225" s="16">
        <f>[1]Items!K211</f>
        <v>0</v>
      </c>
      <c r="L225" s="16">
        <f>[1]Items!L211</f>
        <v>0</v>
      </c>
      <c r="M225" s="16">
        <f>[1]Items!M211</f>
        <v>0</v>
      </c>
      <c r="N225" s="16">
        <f>[1]Items!N211</f>
        <v>0</v>
      </c>
      <c r="O225" s="16">
        <f>[1]Items!O211</f>
        <v>0</v>
      </c>
      <c r="P225" s="16">
        <f>[1]Items!P211</f>
        <v>0</v>
      </c>
      <c r="Q225" s="16">
        <f>[1]Items!Q211</f>
        <v>0</v>
      </c>
      <c r="R225" s="16">
        <f>[1]Items!R211</f>
        <v>0</v>
      </c>
      <c r="S225" s="16">
        <f>[1]Items!S211</f>
        <v>0</v>
      </c>
      <c r="W225">
        <f>IF('Dota 2'!$C$6, (Items!C225+Items!E225)*Items!$X$2, (Items!C225+Items!D225)*Items!$X$2)</f>
        <v>0</v>
      </c>
      <c r="X225">
        <f t="shared" si="18"/>
        <v>0</v>
      </c>
      <c r="Y225">
        <f t="shared" si="19"/>
        <v>0</v>
      </c>
      <c r="Z225">
        <f t="shared" si="20"/>
        <v>0</v>
      </c>
      <c r="AA225">
        <f t="shared" si="21"/>
        <v>0</v>
      </c>
      <c r="AB225">
        <f>('Dota 2'!$H$10/$Z$4) * (1-($Y$9*($AA$2+J225))/($Y$7+$Y$9*ABS($AA$2+J225)) - $Z$4)</f>
        <v>0</v>
      </c>
      <c r="AC225">
        <f>IF('Dota 2'!$C$6, K225*M225*(1-$Z$3)*'Dota 2'!$H$8, K225*L225*(1-$Z$3)*'Dota 2'!$H$8)</f>
        <v>0</v>
      </c>
      <c r="AD225">
        <f>N225*O225*'Dota 2'!$H$10</f>
        <v>0</v>
      </c>
      <c r="AE225" s="2">
        <f t="shared" si="22"/>
        <v>0</v>
      </c>
      <c r="AF225" s="17">
        <f t="shared" si="23"/>
        <v>0</v>
      </c>
    </row>
    <row r="226" spans="1:32" x14ac:dyDescent="0.25">
      <c r="A226" s="6">
        <f>[1]Items!$A212</f>
        <v>0</v>
      </c>
      <c r="B226" s="16">
        <f>[1]Items!B212</f>
        <v>0</v>
      </c>
      <c r="C226" s="16">
        <f>[1]Items!C212</f>
        <v>0</v>
      </c>
      <c r="D226" s="16">
        <f>[1]Items!D212</f>
        <v>0</v>
      </c>
      <c r="E226" s="16">
        <f>[1]Items!E212</f>
        <v>0</v>
      </c>
      <c r="F226" s="16">
        <f>[1]Items!F212</f>
        <v>0</v>
      </c>
      <c r="G226" s="16">
        <f>[1]Items!G212</f>
        <v>0</v>
      </c>
      <c r="H226" s="16">
        <f>[1]Items!H212</f>
        <v>0</v>
      </c>
      <c r="I226" s="16">
        <f>[1]Items!I212</f>
        <v>0</v>
      </c>
      <c r="J226" s="16">
        <f>[1]Items!J212</f>
        <v>0</v>
      </c>
      <c r="K226" s="16">
        <f>[1]Items!K212</f>
        <v>0</v>
      </c>
      <c r="L226" s="16">
        <f>[1]Items!L212</f>
        <v>0</v>
      </c>
      <c r="M226" s="16">
        <f>[1]Items!M212</f>
        <v>0</v>
      </c>
      <c r="N226" s="16">
        <f>[1]Items!N212</f>
        <v>0</v>
      </c>
      <c r="O226" s="16">
        <f>[1]Items!O212</f>
        <v>0</v>
      </c>
      <c r="P226" s="16">
        <f>[1]Items!P212</f>
        <v>0</v>
      </c>
      <c r="Q226" s="16">
        <f>[1]Items!Q212</f>
        <v>0</v>
      </c>
      <c r="R226" s="16">
        <f>[1]Items!R212</f>
        <v>0</v>
      </c>
      <c r="S226" s="16">
        <f>[1]Items!S212</f>
        <v>0</v>
      </c>
      <c r="W226">
        <f>IF('Dota 2'!$C$6, (Items!C226+Items!E226)*Items!$X$2, (Items!C226+Items!D226)*Items!$X$2)</f>
        <v>0</v>
      </c>
      <c r="X226">
        <f t="shared" si="18"/>
        <v>0</v>
      </c>
      <c r="Y226">
        <f t="shared" si="19"/>
        <v>0</v>
      </c>
      <c r="Z226">
        <f t="shared" si="20"/>
        <v>0</v>
      </c>
      <c r="AA226">
        <f t="shared" si="21"/>
        <v>0</v>
      </c>
      <c r="AB226">
        <f>('Dota 2'!$H$10/$Z$4) * (1-($Y$9*($AA$2+J226))/($Y$7+$Y$9*ABS($AA$2+J226)) - $Z$4)</f>
        <v>0</v>
      </c>
      <c r="AC226">
        <f>IF('Dota 2'!$C$6, K226*M226*(1-$Z$3)*'Dota 2'!$H$8, K226*L226*(1-$Z$3)*'Dota 2'!$H$8)</f>
        <v>0</v>
      </c>
      <c r="AD226">
        <f>N226*O226*'Dota 2'!$H$10</f>
        <v>0</v>
      </c>
      <c r="AE226" s="2">
        <f t="shared" si="22"/>
        <v>0</v>
      </c>
      <c r="AF226" s="17">
        <f t="shared" si="23"/>
        <v>0</v>
      </c>
    </row>
    <row r="227" spans="1:32" x14ac:dyDescent="0.25">
      <c r="A227" s="6">
        <f>[1]Items!$A213</f>
        <v>0</v>
      </c>
      <c r="B227" s="16">
        <f>[1]Items!B213</f>
        <v>0</v>
      </c>
      <c r="C227" s="16">
        <f>[1]Items!C213</f>
        <v>0</v>
      </c>
      <c r="D227" s="16">
        <f>[1]Items!D213</f>
        <v>0</v>
      </c>
      <c r="E227" s="16">
        <f>[1]Items!E213</f>
        <v>0</v>
      </c>
      <c r="F227" s="16">
        <f>[1]Items!F213</f>
        <v>0</v>
      </c>
      <c r="G227" s="16">
        <f>[1]Items!G213</f>
        <v>0</v>
      </c>
      <c r="H227" s="16">
        <f>[1]Items!H213</f>
        <v>0</v>
      </c>
      <c r="I227" s="16">
        <f>[1]Items!I213</f>
        <v>0</v>
      </c>
      <c r="J227" s="16">
        <f>[1]Items!J213</f>
        <v>0</v>
      </c>
      <c r="K227" s="16">
        <f>[1]Items!K213</f>
        <v>0</v>
      </c>
      <c r="L227" s="16">
        <f>[1]Items!L213</f>
        <v>0</v>
      </c>
      <c r="M227" s="16">
        <f>[1]Items!M213</f>
        <v>0</v>
      </c>
      <c r="N227" s="16">
        <f>[1]Items!N213</f>
        <v>0</v>
      </c>
      <c r="O227" s="16">
        <f>[1]Items!O213</f>
        <v>0</v>
      </c>
      <c r="P227" s="16">
        <f>[1]Items!P213</f>
        <v>0</v>
      </c>
      <c r="Q227" s="16">
        <f>[1]Items!Q213</f>
        <v>0</v>
      </c>
      <c r="R227" s="16">
        <f>[1]Items!R213</f>
        <v>0</v>
      </c>
      <c r="S227" s="16">
        <f>[1]Items!S213</f>
        <v>0</v>
      </c>
      <c r="W227">
        <f>IF('Dota 2'!$C$6, (Items!C227+Items!E227)*Items!$X$2, (Items!C227+Items!D227)*Items!$X$2)</f>
        <v>0</v>
      </c>
      <c r="X227">
        <f t="shared" si="18"/>
        <v>0</v>
      </c>
      <c r="Y227">
        <f t="shared" si="19"/>
        <v>0</v>
      </c>
      <c r="Z227">
        <f t="shared" si="20"/>
        <v>0</v>
      </c>
      <c r="AA227">
        <f t="shared" si="21"/>
        <v>0</v>
      </c>
      <c r="AB227">
        <f>('Dota 2'!$H$10/$Z$4) * (1-($Y$9*($AA$2+J227))/($Y$7+$Y$9*ABS($AA$2+J227)) - $Z$4)</f>
        <v>0</v>
      </c>
      <c r="AC227">
        <f>IF('Dota 2'!$C$6, K227*M227*(1-$Z$3)*'Dota 2'!$H$8, K227*L227*(1-$Z$3)*'Dota 2'!$H$8)</f>
        <v>0</v>
      </c>
      <c r="AD227">
        <f>N227*O227*'Dota 2'!$H$10</f>
        <v>0</v>
      </c>
      <c r="AE227" s="2">
        <f t="shared" si="22"/>
        <v>0</v>
      </c>
      <c r="AF227" s="17">
        <f t="shared" si="23"/>
        <v>0</v>
      </c>
    </row>
    <row r="228" spans="1:32" x14ac:dyDescent="0.25">
      <c r="A228" s="6">
        <f>[1]Items!$A214</f>
        <v>0</v>
      </c>
      <c r="B228" s="16">
        <f>[1]Items!B214</f>
        <v>0</v>
      </c>
      <c r="C228" s="16">
        <f>[1]Items!C214</f>
        <v>0</v>
      </c>
      <c r="D228" s="16">
        <f>[1]Items!D214</f>
        <v>0</v>
      </c>
      <c r="E228" s="16">
        <f>[1]Items!E214</f>
        <v>0</v>
      </c>
      <c r="F228" s="16">
        <f>[1]Items!F214</f>
        <v>0</v>
      </c>
      <c r="G228" s="16">
        <f>[1]Items!G214</f>
        <v>0</v>
      </c>
      <c r="H228" s="16">
        <f>[1]Items!H214</f>
        <v>0</v>
      </c>
      <c r="I228" s="16">
        <f>[1]Items!I214</f>
        <v>0</v>
      </c>
      <c r="J228" s="16">
        <f>[1]Items!J214</f>
        <v>0</v>
      </c>
      <c r="K228" s="16">
        <f>[1]Items!K214</f>
        <v>0</v>
      </c>
      <c r="L228" s="16">
        <f>[1]Items!L214</f>
        <v>0</v>
      </c>
      <c r="M228" s="16">
        <f>[1]Items!M214</f>
        <v>0</v>
      </c>
      <c r="N228" s="16">
        <f>[1]Items!N214</f>
        <v>0</v>
      </c>
      <c r="O228" s="16">
        <f>[1]Items!O214</f>
        <v>0</v>
      </c>
      <c r="P228" s="16">
        <f>[1]Items!P214</f>
        <v>0</v>
      </c>
      <c r="Q228" s="16">
        <f>[1]Items!Q214</f>
        <v>0</v>
      </c>
      <c r="R228" s="16">
        <f>[1]Items!R214</f>
        <v>0</v>
      </c>
      <c r="S228" s="16">
        <f>[1]Items!S214</f>
        <v>0</v>
      </c>
      <c r="W228">
        <f>IF('Dota 2'!$C$6, (Items!C228+Items!E228)*Items!$X$2, (Items!C228+Items!D228)*Items!$X$2)</f>
        <v>0</v>
      </c>
      <c r="X228">
        <f t="shared" si="18"/>
        <v>0</v>
      </c>
      <c r="Y228">
        <f t="shared" si="19"/>
        <v>0</v>
      </c>
      <c r="Z228">
        <f t="shared" si="20"/>
        <v>0</v>
      </c>
      <c r="AA228">
        <f t="shared" si="21"/>
        <v>0</v>
      </c>
      <c r="AB228">
        <f>('Dota 2'!$H$10/$Z$4) * (1-($Y$9*($AA$2+J228))/($Y$7+$Y$9*ABS($AA$2+J228)) - $Z$4)</f>
        <v>0</v>
      </c>
      <c r="AC228">
        <f>IF('Dota 2'!$C$6, K228*M228*(1-$Z$3)*'Dota 2'!$H$8, K228*L228*(1-$Z$3)*'Dota 2'!$H$8)</f>
        <v>0</v>
      </c>
      <c r="AD228">
        <f>N228*O228*'Dota 2'!$H$10</f>
        <v>0</v>
      </c>
      <c r="AE228" s="2">
        <f t="shared" si="22"/>
        <v>0</v>
      </c>
      <c r="AF228" s="17">
        <f t="shared" si="23"/>
        <v>0</v>
      </c>
    </row>
    <row r="229" spans="1:32" x14ac:dyDescent="0.25">
      <c r="A229" s="6">
        <f>[1]Items!$A215</f>
        <v>0</v>
      </c>
      <c r="B229" s="16">
        <f>[1]Items!B215</f>
        <v>0</v>
      </c>
      <c r="C229" s="16">
        <f>[1]Items!C215</f>
        <v>0</v>
      </c>
      <c r="D229" s="16">
        <f>[1]Items!D215</f>
        <v>0</v>
      </c>
      <c r="E229" s="16">
        <f>[1]Items!E215</f>
        <v>0</v>
      </c>
      <c r="F229" s="16">
        <f>[1]Items!F215</f>
        <v>0</v>
      </c>
      <c r="G229" s="16">
        <f>[1]Items!G215</f>
        <v>0</v>
      </c>
      <c r="H229" s="16">
        <f>[1]Items!H215</f>
        <v>0</v>
      </c>
      <c r="I229" s="16">
        <f>[1]Items!I215</f>
        <v>0</v>
      </c>
      <c r="J229" s="16">
        <f>[1]Items!J215</f>
        <v>0</v>
      </c>
      <c r="K229" s="16">
        <f>[1]Items!K215</f>
        <v>0</v>
      </c>
      <c r="L229" s="16">
        <f>[1]Items!L215</f>
        <v>0</v>
      </c>
      <c r="M229" s="16">
        <f>[1]Items!M215</f>
        <v>0</v>
      </c>
      <c r="N229" s="16">
        <f>[1]Items!N215</f>
        <v>0</v>
      </c>
      <c r="O229" s="16">
        <f>[1]Items!O215</f>
        <v>0</v>
      </c>
      <c r="P229" s="16">
        <f>[1]Items!P215</f>
        <v>0</v>
      </c>
      <c r="Q229" s="16">
        <f>[1]Items!Q215</f>
        <v>0</v>
      </c>
      <c r="R229" s="16">
        <f>[1]Items!R215</f>
        <v>0</v>
      </c>
      <c r="S229" s="16">
        <f>[1]Items!S215</f>
        <v>0</v>
      </c>
      <c r="W229">
        <f>IF('Dota 2'!$C$6, (Items!C229+Items!E229)*Items!$X$2, (Items!C229+Items!D229)*Items!$X$2)</f>
        <v>0</v>
      </c>
      <c r="X229">
        <f t="shared" si="18"/>
        <v>0</v>
      </c>
      <c r="Y229">
        <f t="shared" si="19"/>
        <v>0</v>
      </c>
      <c r="Z229">
        <f t="shared" si="20"/>
        <v>0</v>
      </c>
      <c r="AA229">
        <f t="shared" si="21"/>
        <v>0</v>
      </c>
      <c r="AB229">
        <f>('Dota 2'!$H$10/$Z$4) * (1-($Y$9*($AA$2+J229))/($Y$7+$Y$9*ABS($AA$2+J229)) - $Z$4)</f>
        <v>0</v>
      </c>
      <c r="AC229">
        <f>IF('Dota 2'!$C$6, K229*M229*(1-$Z$3)*'Dota 2'!$H$8, K229*L229*(1-$Z$3)*'Dota 2'!$H$8)</f>
        <v>0</v>
      </c>
      <c r="AD229">
        <f>N229*O229*'Dota 2'!$H$10</f>
        <v>0</v>
      </c>
      <c r="AE229" s="2">
        <f t="shared" si="22"/>
        <v>0</v>
      </c>
      <c r="AF229" s="17">
        <f t="shared" si="23"/>
        <v>0</v>
      </c>
    </row>
    <row r="230" spans="1:32" x14ac:dyDescent="0.25">
      <c r="A230" s="6">
        <f>[1]Items!$A216</f>
        <v>0</v>
      </c>
      <c r="B230" s="16">
        <f>[1]Items!B216</f>
        <v>0</v>
      </c>
      <c r="C230" s="16">
        <f>[1]Items!C216</f>
        <v>0</v>
      </c>
      <c r="D230" s="16">
        <f>[1]Items!D216</f>
        <v>0</v>
      </c>
      <c r="E230" s="16">
        <f>[1]Items!E216</f>
        <v>0</v>
      </c>
      <c r="F230" s="16">
        <f>[1]Items!F216</f>
        <v>0</v>
      </c>
      <c r="G230" s="16">
        <f>[1]Items!G216</f>
        <v>0</v>
      </c>
      <c r="H230" s="16">
        <f>[1]Items!H216</f>
        <v>0</v>
      </c>
      <c r="I230" s="16">
        <f>[1]Items!I216</f>
        <v>0</v>
      </c>
      <c r="J230" s="16">
        <f>[1]Items!J216</f>
        <v>0</v>
      </c>
      <c r="K230" s="16">
        <f>[1]Items!K216</f>
        <v>0</v>
      </c>
      <c r="L230" s="16">
        <f>[1]Items!L216</f>
        <v>0</v>
      </c>
      <c r="M230" s="16">
        <f>[1]Items!M216</f>
        <v>0</v>
      </c>
      <c r="N230" s="16">
        <f>[1]Items!N216</f>
        <v>0</v>
      </c>
      <c r="O230" s="16">
        <f>[1]Items!O216</f>
        <v>0</v>
      </c>
      <c r="P230" s="16">
        <f>[1]Items!P216</f>
        <v>0</v>
      </c>
      <c r="Q230" s="16">
        <f>[1]Items!Q216</f>
        <v>0</v>
      </c>
      <c r="R230" s="16">
        <f>[1]Items!R216</f>
        <v>0</v>
      </c>
      <c r="S230" s="16">
        <f>[1]Items!S216</f>
        <v>0</v>
      </c>
      <c r="W230">
        <f>IF('Dota 2'!$C$6, (Items!C230+Items!E230)*Items!$X$2, (Items!C230+Items!D230)*Items!$X$2)</f>
        <v>0</v>
      </c>
      <c r="X230">
        <f t="shared" si="18"/>
        <v>0</v>
      </c>
      <c r="Y230">
        <f t="shared" si="19"/>
        <v>0</v>
      </c>
      <c r="Z230">
        <f t="shared" si="20"/>
        <v>0</v>
      </c>
      <c r="AA230">
        <f t="shared" si="21"/>
        <v>0</v>
      </c>
      <c r="AB230">
        <f>('Dota 2'!$H$10/$Z$4) * (1-($Y$9*($AA$2+J230))/($Y$7+$Y$9*ABS($AA$2+J230)) - $Z$4)</f>
        <v>0</v>
      </c>
      <c r="AC230">
        <f>IF('Dota 2'!$C$6, K230*M230*(1-$Z$3)*'Dota 2'!$H$8, K230*L230*(1-$Z$3)*'Dota 2'!$H$8)</f>
        <v>0</v>
      </c>
      <c r="AD230">
        <f>N230*O230*'Dota 2'!$H$10</f>
        <v>0</v>
      </c>
      <c r="AE230" s="2">
        <f t="shared" si="22"/>
        <v>0</v>
      </c>
      <c r="AF230" s="17">
        <f t="shared" si="23"/>
        <v>0</v>
      </c>
    </row>
    <row r="231" spans="1:32" x14ac:dyDescent="0.25">
      <c r="A231" s="6">
        <f>[1]Items!$A217</f>
        <v>0</v>
      </c>
      <c r="B231" s="16">
        <f>[1]Items!B217</f>
        <v>0</v>
      </c>
      <c r="C231" s="16">
        <f>[1]Items!C217</f>
        <v>0</v>
      </c>
      <c r="D231" s="16">
        <f>[1]Items!D217</f>
        <v>0</v>
      </c>
      <c r="E231" s="16">
        <f>[1]Items!E217</f>
        <v>0</v>
      </c>
      <c r="F231" s="16">
        <f>[1]Items!F217</f>
        <v>0</v>
      </c>
      <c r="G231" s="16">
        <f>[1]Items!G217</f>
        <v>0</v>
      </c>
      <c r="H231" s="16">
        <f>[1]Items!H217</f>
        <v>0</v>
      </c>
      <c r="I231" s="16">
        <f>[1]Items!I217</f>
        <v>0</v>
      </c>
      <c r="J231" s="16">
        <f>[1]Items!J217</f>
        <v>0</v>
      </c>
      <c r="K231" s="16">
        <f>[1]Items!K217</f>
        <v>0</v>
      </c>
      <c r="L231" s="16">
        <f>[1]Items!L217</f>
        <v>0</v>
      </c>
      <c r="M231" s="16">
        <f>[1]Items!M217</f>
        <v>0</v>
      </c>
      <c r="N231" s="16">
        <f>[1]Items!N217</f>
        <v>0</v>
      </c>
      <c r="O231" s="16">
        <f>[1]Items!O217</f>
        <v>0</v>
      </c>
      <c r="P231" s="16">
        <f>[1]Items!P217</f>
        <v>0</v>
      </c>
      <c r="Q231" s="16">
        <f>[1]Items!Q217</f>
        <v>0</v>
      </c>
      <c r="R231" s="16">
        <f>[1]Items!R217</f>
        <v>0</v>
      </c>
      <c r="S231" s="16">
        <f>[1]Items!S217</f>
        <v>0</v>
      </c>
      <c r="W231">
        <f>IF('Dota 2'!$C$6, (Items!C231+Items!E231)*Items!$X$2, (Items!C231+Items!D231)*Items!$X$2)</f>
        <v>0</v>
      </c>
      <c r="X231">
        <f t="shared" si="18"/>
        <v>0</v>
      </c>
      <c r="Y231">
        <f t="shared" si="19"/>
        <v>0</v>
      </c>
      <c r="Z231">
        <f t="shared" si="20"/>
        <v>0</v>
      </c>
      <c r="AA231">
        <f t="shared" si="21"/>
        <v>0</v>
      </c>
      <c r="AB231">
        <f>('Dota 2'!$H$10/$Z$4) * (1-($Y$9*($AA$2+J231))/($Y$7+$Y$9*ABS($AA$2+J231)) - $Z$4)</f>
        <v>0</v>
      </c>
      <c r="AC231">
        <f>IF('Dota 2'!$C$6, K231*M231*(1-$Z$3)*'Dota 2'!$H$8, K231*L231*(1-$Z$3)*'Dota 2'!$H$8)</f>
        <v>0</v>
      </c>
      <c r="AD231">
        <f>N231*O231*'Dota 2'!$H$10</f>
        <v>0</v>
      </c>
      <c r="AE231" s="2">
        <f t="shared" si="22"/>
        <v>0</v>
      </c>
      <c r="AF231" s="17">
        <f t="shared" si="23"/>
        <v>0</v>
      </c>
    </row>
    <row r="232" spans="1:32" x14ac:dyDescent="0.25">
      <c r="A232" s="6">
        <f>[1]Items!$A218</f>
        <v>0</v>
      </c>
      <c r="B232" s="16">
        <f>[1]Items!B218</f>
        <v>0</v>
      </c>
      <c r="C232" s="16">
        <f>[1]Items!C218</f>
        <v>0</v>
      </c>
      <c r="D232" s="16">
        <f>[1]Items!D218</f>
        <v>0</v>
      </c>
      <c r="E232" s="16">
        <f>[1]Items!E218</f>
        <v>0</v>
      </c>
      <c r="F232" s="16">
        <f>[1]Items!F218</f>
        <v>0</v>
      </c>
      <c r="G232" s="16">
        <f>[1]Items!G218</f>
        <v>0</v>
      </c>
      <c r="H232" s="16">
        <f>[1]Items!H218</f>
        <v>0</v>
      </c>
      <c r="I232" s="16">
        <f>[1]Items!I218</f>
        <v>0</v>
      </c>
      <c r="J232" s="16">
        <f>[1]Items!J218</f>
        <v>0</v>
      </c>
      <c r="K232" s="16">
        <f>[1]Items!K218</f>
        <v>0</v>
      </c>
      <c r="L232" s="16">
        <f>[1]Items!L218</f>
        <v>0</v>
      </c>
      <c r="M232" s="16">
        <f>[1]Items!M218</f>
        <v>0</v>
      </c>
      <c r="N232" s="16">
        <f>[1]Items!N218</f>
        <v>0</v>
      </c>
      <c r="O232" s="16">
        <f>[1]Items!O218</f>
        <v>0</v>
      </c>
      <c r="P232" s="16">
        <f>[1]Items!P218</f>
        <v>0</v>
      </c>
      <c r="Q232" s="16">
        <f>[1]Items!Q218</f>
        <v>0</v>
      </c>
      <c r="R232" s="16">
        <f>[1]Items!R218</f>
        <v>0</v>
      </c>
      <c r="S232" s="16">
        <f>[1]Items!S218</f>
        <v>0</v>
      </c>
      <c r="W232">
        <f>IF('Dota 2'!$C$6, (Items!C232+Items!E232)*Items!$X$2, (Items!C232+Items!D232)*Items!$X$2)</f>
        <v>0</v>
      </c>
      <c r="X232">
        <f t="shared" si="18"/>
        <v>0</v>
      </c>
      <c r="Y232">
        <f t="shared" si="19"/>
        <v>0</v>
      </c>
      <c r="Z232">
        <f t="shared" si="20"/>
        <v>0</v>
      </c>
      <c r="AA232">
        <f t="shared" si="21"/>
        <v>0</v>
      </c>
      <c r="AB232">
        <f>('Dota 2'!$H$10/$Z$4) * (1-($Y$9*($AA$2+J232))/($Y$7+$Y$9*ABS($AA$2+J232)) - $Z$4)</f>
        <v>0</v>
      </c>
      <c r="AC232">
        <f>IF('Dota 2'!$C$6, K232*M232*(1-$Z$3)*'Dota 2'!$H$8, K232*L232*(1-$Z$3)*'Dota 2'!$H$8)</f>
        <v>0</v>
      </c>
      <c r="AD232">
        <f>N232*O232*'Dota 2'!$H$10</f>
        <v>0</v>
      </c>
      <c r="AE232" s="2">
        <f t="shared" si="22"/>
        <v>0</v>
      </c>
      <c r="AF232" s="17">
        <f t="shared" si="23"/>
        <v>0</v>
      </c>
    </row>
    <row r="233" spans="1:32" x14ac:dyDescent="0.25">
      <c r="A233" s="6">
        <f>[1]Items!$A219</f>
        <v>0</v>
      </c>
      <c r="B233" s="16">
        <f>[1]Items!B219</f>
        <v>0</v>
      </c>
      <c r="C233" s="16">
        <f>[1]Items!C219</f>
        <v>0</v>
      </c>
      <c r="D233" s="16">
        <f>[1]Items!D219</f>
        <v>0</v>
      </c>
      <c r="E233" s="16">
        <f>[1]Items!E219</f>
        <v>0</v>
      </c>
      <c r="F233" s="16">
        <f>[1]Items!F219</f>
        <v>0</v>
      </c>
      <c r="G233" s="16">
        <f>[1]Items!G219</f>
        <v>0</v>
      </c>
      <c r="H233" s="16">
        <f>[1]Items!H219</f>
        <v>0</v>
      </c>
      <c r="I233" s="16">
        <f>[1]Items!I219</f>
        <v>0</v>
      </c>
      <c r="J233" s="16">
        <f>[1]Items!J219</f>
        <v>0</v>
      </c>
      <c r="K233" s="16">
        <f>[1]Items!K219</f>
        <v>0</v>
      </c>
      <c r="L233" s="16">
        <f>[1]Items!L219</f>
        <v>0</v>
      </c>
      <c r="M233" s="16">
        <f>[1]Items!M219</f>
        <v>0</v>
      </c>
      <c r="N233" s="16">
        <f>[1]Items!N219</f>
        <v>0</v>
      </c>
      <c r="O233" s="16">
        <f>[1]Items!O219</f>
        <v>0</v>
      </c>
      <c r="P233" s="16">
        <f>[1]Items!P219</f>
        <v>0</v>
      </c>
      <c r="Q233" s="16">
        <f>[1]Items!Q219</f>
        <v>0</v>
      </c>
      <c r="R233" s="16">
        <f>[1]Items!R219</f>
        <v>0</v>
      </c>
      <c r="S233" s="16">
        <f>[1]Items!S219</f>
        <v>0</v>
      </c>
      <c r="W233">
        <f>IF('Dota 2'!$C$6, (Items!C233+Items!E233)*Items!$X$2, (Items!C233+Items!D233)*Items!$X$2)</f>
        <v>0</v>
      </c>
      <c r="X233">
        <f t="shared" si="18"/>
        <v>0</v>
      </c>
      <c r="Y233">
        <f t="shared" si="19"/>
        <v>0</v>
      </c>
      <c r="Z233">
        <f t="shared" si="20"/>
        <v>0</v>
      </c>
      <c r="AA233">
        <f t="shared" si="21"/>
        <v>0</v>
      </c>
      <c r="AB233">
        <f>('Dota 2'!$H$10/$Z$4) * (1-($Y$9*($AA$2+J233))/($Y$7+$Y$9*ABS($AA$2+J233)) - $Z$4)</f>
        <v>0</v>
      </c>
      <c r="AC233">
        <f>IF('Dota 2'!$C$6, K233*M233*(1-$Z$3)*'Dota 2'!$H$8, K233*L233*(1-$Z$3)*'Dota 2'!$H$8)</f>
        <v>0</v>
      </c>
      <c r="AD233">
        <f>N233*O233*'Dota 2'!$H$10</f>
        <v>0</v>
      </c>
      <c r="AE233" s="2">
        <f t="shared" si="22"/>
        <v>0</v>
      </c>
      <c r="AF233" s="17">
        <f t="shared" si="23"/>
        <v>0</v>
      </c>
    </row>
    <row r="234" spans="1:32" x14ac:dyDescent="0.25">
      <c r="A234" s="6">
        <f>[1]Items!$A220</f>
        <v>0</v>
      </c>
      <c r="B234" s="16">
        <f>[1]Items!B220</f>
        <v>0</v>
      </c>
      <c r="C234" s="16">
        <f>[1]Items!C220</f>
        <v>0</v>
      </c>
      <c r="D234" s="16">
        <f>[1]Items!D220</f>
        <v>0</v>
      </c>
      <c r="E234" s="16">
        <f>[1]Items!E220</f>
        <v>0</v>
      </c>
      <c r="F234" s="16">
        <f>[1]Items!F220</f>
        <v>0</v>
      </c>
      <c r="G234" s="16">
        <f>[1]Items!G220</f>
        <v>0</v>
      </c>
      <c r="H234" s="16">
        <f>[1]Items!H220</f>
        <v>0</v>
      </c>
      <c r="I234" s="16">
        <f>[1]Items!I220</f>
        <v>0</v>
      </c>
      <c r="J234" s="16">
        <f>[1]Items!J220</f>
        <v>0</v>
      </c>
      <c r="K234" s="16">
        <f>[1]Items!K220</f>
        <v>0</v>
      </c>
      <c r="L234" s="16">
        <f>[1]Items!L220</f>
        <v>0</v>
      </c>
      <c r="M234" s="16">
        <f>[1]Items!M220</f>
        <v>0</v>
      </c>
      <c r="N234" s="16">
        <f>[1]Items!N220</f>
        <v>0</v>
      </c>
      <c r="O234" s="16">
        <f>[1]Items!O220</f>
        <v>0</v>
      </c>
      <c r="P234" s="16">
        <f>[1]Items!P220</f>
        <v>0</v>
      </c>
      <c r="Q234" s="16">
        <f>[1]Items!Q220</f>
        <v>0</v>
      </c>
      <c r="R234" s="16">
        <f>[1]Items!R220</f>
        <v>0</v>
      </c>
      <c r="S234" s="16">
        <f>[1]Items!S220</f>
        <v>0</v>
      </c>
      <c r="W234">
        <f>IF('Dota 2'!$C$6, (Items!C234+Items!E234)*Items!$X$2, (Items!C234+Items!D234)*Items!$X$2)</f>
        <v>0</v>
      </c>
      <c r="X234">
        <f t="shared" si="18"/>
        <v>0</v>
      </c>
      <c r="Y234">
        <f t="shared" si="19"/>
        <v>0</v>
      </c>
      <c r="Z234">
        <f t="shared" si="20"/>
        <v>0</v>
      </c>
      <c r="AA234">
        <f t="shared" si="21"/>
        <v>0</v>
      </c>
      <c r="AB234">
        <f>('Dota 2'!$H$10/$Z$4) * (1-($Y$9*($AA$2+J234))/($Y$7+$Y$9*ABS($AA$2+J234)) - $Z$4)</f>
        <v>0</v>
      </c>
      <c r="AC234">
        <f>IF('Dota 2'!$C$6, K234*M234*(1-$Z$3)*'Dota 2'!$H$8, K234*L234*(1-$Z$3)*'Dota 2'!$H$8)</f>
        <v>0</v>
      </c>
      <c r="AD234">
        <f>N234*O234*'Dota 2'!$H$10</f>
        <v>0</v>
      </c>
      <c r="AE234" s="2">
        <f t="shared" si="22"/>
        <v>0</v>
      </c>
      <c r="AF234" s="17">
        <f t="shared" si="23"/>
        <v>0</v>
      </c>
    </row>
    <row r="235" spans="1:32" x14ac:dyDescent="0.25">
      <c r="A235" s="6">
        <f>[1]Items!$A221</f>
        <v>0</v>
      </c>
      <c r="B235" s="16">
        <f>[1]Items!B221</f>
        <v>0</v>
      </c>
      <c r="C235" s="16">
        <f>[1]Items!C221</f>
        <v>0</v>
      </c>
      <c r="D235" s="16">
        <f>[1]Items!D221</f>
        <v>0</v>
      </c>
      <c r="E235" s="16">
        <f>[1]Items!E221</f>
        <v>0</v>
      </c>
      <c r="F235" s="16">
        <f>[1]Items!F221</f>
        <v>0</v>
      </c>
      <c r="G235" s="16">
        <f>[1]Items!G221</f>
        <v>0</v>
      </c>
      <c r="H235" s="16">
        <f>[1]Items!H221</f>
        <v>0</v>
      </c>
      <c r="I235" s="16">
        <f>[1]Items!I221</f>
        <v>0</v>
      </c>
      <c r="J235" s="16">
        <f>[1]Items!J221</f>
        <v>0</v>
      </c>
      <c r="K235" s="16">
        <f>[1]Items!K221</f>
        <v>0</v>
      </c>
      <c r="L235" s="16">
        <f>[1]Items!L221</f>
        <v>0</v>
      </c>
      <c r="M235" s="16">
        <f>[1]Items!M221</f>
        <v>0</v>
      </c>
      <c r="N235" s="16">
        <f>[1]Items!N221</f>
        <v>0</v>
      </c>
      <c r="O235" s="16">
        <f>[1]Items!O221</f>
        <v>0</v>
      </c>
      <c r="P235" s="16">
        <f>[1]Items!P221</f>
        <v>0</v>
      </c>
      <c r="Q235" s="16">
        <f>[1]Items!Q221</f>
        <v>0</v>
      </c>
      <c r="R235" s="16">
        <f>[1]Items!R221</f>
        <v>0</v>
      </c>
      <c r="S235" s="16">
        <f>[1]Items!S221</f>
        <v>0</v>
      </c>
      <c r="W235">
        <f>IF('Dota 2'!$C$6, (Items!C235+Items!E235)*Items!$X$2, (Items!C235+Items!D235)*Items!$X$2)</f>
        <v>0</v>
      </c>
      <c r="X235">
        <f t="shared" si="18"/>
        <v>0</v>
      </c>
      <c r="Y235">
        <f t="shared" si="19"/>
        <v>0</v>
      </c>
      <c r="Z235">
        <f t="shared" si="20"/>
        <v>0</v>
      </c>
      <c r="AA235">
        <f t="shared" si="21"/>
        <v>0</v>
      </c>
      <c r="AB235">
        <f>('Dota 2'!$H$10/$Z$4) * (1-($Y$9*($AA$2+J235))/($Y$7+$Y$9*ABS($AA$2+J235)) - $Z$4)</f>
        <v>0</v>
      </c>
      <c r="AC235">
        <f>IF('Dota 2'!$C$6, K235*M235*(1-$Z$3)*'Dota 2'!$H$8, K235*L235*(1-$Z$3)*'Dota 2'!$H$8)</f>
        <v>0</v>
      </c>
      <c r="AD235">
        <f>N235*O235*'Dota 2'!$H$10</f>
        <v>0</v>
      </c>
      <c r="AE235" s="2">
        <f t="shared" si="22"/>
        <v>0</v>
      </c>
      <c r="AF235" s="17">
        <f t="shared" si="23"/>
        <v>0</v>
      </c>
    </row>
    <row r="236" spans="1:32" x14ac:dyDescent="0.25">
      <c r="A236" s="6">
        <f>[1]Items!$A222</f>
        <v>0</v>
      </c>
      <c r="B236" s="16">
        <f>[1]Items!B222</f>
        <v>0</v>
      </c>
      <c r="C236" s="16">
        <f>[1]Items!C222</f>
        <v>0</v>
      </c>
      <c r="D236" s="16">
        <f>[1]Items!D222</f>
        <v>0</v>
      </c>
      <c r="E236" s="16">
        <f>[1]Items!E222</f>
        <v>0</v>
      </c>
      <c r="F236" s="16">
        <f>[1]Items!F222</f>
        <v>0</v>
      </c>
      <c r="G236" s="16">
        <f>[1]Items!G222</f>
        <v>0</v>
      </c>
      <c r="H236" s="16">
        <f>[1]Items!H222</f>
        <v>0</v>
      </c>
      <c r="I236" s="16">
        <f>[1]Items!I222</f>
        <v>0</v>
      </c>
      <c r="J236" s="16">
        <f>[1]Items!J222</f>
        <v>0</v>
      </c>
      <c r="K236" s="16">
        <f>[1]Items!K222</f>
        <v>0</v>
      </c>
      <c r="L236" s="16">
        <f>[1]Items!L222</f>
        <v>0</v>
      </c>
      <c r="M236" s="16">
        <f>[1]Items!M222</f>
        <v>0</v>
      </c>
      <c r="N236" s="16">
        <f>[1]Items!N222</f>
        <v>0</v>
      </c>
      <c r="O236" s="16">
        <f>[1]Items!O222</f>
        <v>0</v>
      </c>
      <c r="P236" s="16">
        <f>[1]Items!P222</f>
        <v>0</v>
      </c>
      <c r="Q236" s="16">
        <f>[1]Items!Q222</f>
        <v>0</v>
      </c>
      <c r="R236" s="16">
        <f>[1]Items!R222</f>
        <v>0</v>
      </c>
      <c r="S236" s="16">
        <f>[1]Items!S222</f>
        <v>0</v>
      </c>
      <c r="W236">
        <f>IF('Dota 2'!$C$6, (Items!C236+Items!E236)*Items!$X$2, (Items!C236+Items!D236)*Items!$X$2)</f>
        <v>0</v>
      </c>
      <c r="X236">
        <f t="shared" si="18"/>
        <v>0</v>
      </c>
      <c r="Y236">
        <f t="shared" si="19"/>
        <v>0</v>
      </c>
      <c r="Z236">
        <f t="shared" si="20"/>
        <v>0</v>
      </c>
      <c r="AA236">
        <f t="shared" si="21"/>
        <v>0</v>
      </c>
      <c r="AB236">
        <f>('Dota 2'!$H$10/$Z$4) * (1-($Y$9*($AA$2+J236))/($Y$7+$Y$9*ABS($AA$2+J236)) - $Z$4)</f>
        <v>0</v>
      </c>
      <c r="AC236">
        <f>IF('Dota 2'!$C$6, K236*M236*(1-$Z$3)*'Dota 2'!$H$8, K236*L236*(1-$Z$3)*'Dota 2'!$H$8)</f>
        <v>0</v>
      </c>
      <c r="AD236">
        <f>N236*O236*'Dota 2'!$H$10</f>
        <v>0</v>
      </c>
      <c r="AE236" s="2">
        <f t="shared" si="22"/>
        <v>0</v>
      </c>
      <c r="AF236" s="17">
        <f t="shared" si="23"/>
        <v>0</v>
      </c>
    </row>
    <row r="237" spans="1:32" x14ac:dyDescent="0.25">
      <c r="A237" s="6">
        <f>[1]Items!$A223</f>
        <v>0</v>
      </c>
      <c r="B237" s="16">
        <f>[1]Items!B223</f>
        <v>0</v>
      </c>
      <c r="C237" s="16">
        <f>[1]Items!C223</f>
        <v>0</v>
      </c>
      <c r="D237" s="16">
        <f>[1]Items!D223</f>
        <v>0</v>
      </c>
      <c r="E237" s="16">
        <f>[1]Items!E223</f>
        <v>0</v>
      </c>
      <c r="F237" s="16">
        <f>[1]Items!F223</f>
        <v>0</v>
      </c>
      <c r="G237" s="16">
        <f>[1]Items!G223</f>
        <v>0</v>
      </c>
      <c r="H237" s="16">
        <f>[1]Items!H223</f>
        <v>0</v>
      </c>
      <c r="I237" s="16">
        <f>[1]Items!I223</f>
        <v>0</v>
      </c>
      <c r="J237" s="16">
        <f>[1]Items!J223</f>
        <v>0</v>
      </c>
      <c r="K237" s="16">
        <f>[1]Items!K223</f>
        <v>0</v>
      </c>
      <c r="L237" s="16">
        <f>[1]Items!L223</f>
        <v>0</v>
      </c>
      <c r="M237" s="16">
        <f>[1]Items!M223</f>
        <v>0</v>
      </c>
      <c r="N237" s="16">
        <f>[1]Items!N223</f>
        <v>0</v>
      </c>
      <c r="O237" s="16">
        <f>[1]Items!O223</f>
        <v>0</v>
      </c>
      <c r="P237" s="16">
        <f>[1]Items!P223</f>
        <v>0</v>
      </c>
      <c r="Q237" s="16">
        <f>[1]Items!Q223</f>
        <v>0</v>
      </c>
      <c r="R237" s="16">
        <f>[1]Items!R223</f>
        <v>0</v>
      </c>
      <c r="S237" s="16">
        <f>[1]Items!S223</f>
        <v>0</v>
      </c>
      <c r="W237">
        <f>IF('Dota 2'!$C$6, (Items!C237+Items!E237)*Items!$X$2, (Items!C237+Items!D237)*Items!$X$2)</f>
        <v>0</v>
      </c>
      <c r="X237">
        <f t="shared" si="18"/>
        <v>0</v>
      </c>
      <c r="Y237">
        <f t="shared" si="19"/>
        <v>0</v>
      </c>
      <c r="Z237">
        <f t="shared" si="20"/>
        <v>0</v>
      </c>
      <c r="AA237">
        <f t="shared" si="21"/>
        <v>0</v>
      </c>
      <c r="AB237">
        <f>('Dota 2'!$H$10/$Z$4) * (1-($Y$9*($AA$2+J237))/($Y$7+$Y$9*ABS($AA$2+J237)) - $Z$4)</f>
        <v>0</v>
      </c>
      <c r="AC237">
        <f>IF('Dota 2'!$C$6, K237*M237*(1-$Z$3)*'Dota 2'!$H$8, K237*L237*(1-$Z$3)*'Dota 2'!$H$8)</f>
        <v>0</v>
      </c>
      <c r="AD237">
        <f>N237*O237*'Dota 2'!$H$10</f>
        <v>0</v>
      </c>
      <c r="AE237" s="2">
        <f t="shared" si="22"/>
        <v>0</v>
      </c>
      <c r="AF237" s="17">
        <f t="shared" si="23"/>
        <v>0</v>
      </c>
    </row>
    <row r="238" spans="1:32" x14ac:dyDescent="0.25">
      <c r="A238" s="6">
        <f>[1]Items!$A224</f>
        <v>0</v>
      </c>
      <c r="B238" s="16">
        <f>[1]Items!B224</f>
        <v>0</v>
      </c>
      <c r="C238" s="16">
        <f>[1]Items!C224</f>
        <v>0</v>
      </c>
      <c r="D238" s="16">
        <f>[1]Items!D224</f>
        <v>0</v>
      </c>
      <c r="E238" s="16">
        <f>[1]Items!E224</f>
        <v>0</v>
      </c>
      <c r="F238" s="16">
        <f>[1]Items!F224</f>
        <v>0</v>
      </c>
      <c r="G238" s="16">
        <f>[1]Items!G224</f>
        <v>0</v>
      </c>
      <c r="H238" s="16">
        <f>[1]Items!H224</f>
        <v>0</v>
      </c>
      <c r="I238" s="16">
        <f>[1]Items!I224</f>
        <v>0</v>
      </c>
      <c r="J238" s="16">
        <f>[1]Items!J224</f>
        <v>0</v>
      </c>
      <c r="K238" s="16">
        <f>[1]Items!K224</f>
        <v>0</v>
      </c>
      <c r="L238" s="16">
        <f>[1]Items!L224</f>
        <v>0</v>
      </c>
      <c r="M238" s="16">
        <f>[1]Items!M224</f>
        <v>0</v>
      </c>
      <c r="N238" s="16">
        <f>[1]Items!N224</f>
        <v>0</v>
      </c>
      <c r="O238" s="16">
        <f>[1]Items!O224</f>
        <v>0</v>
      </c>
      <c r="P238" s="16">
        <f>[1]Items!P224</f>
        <v>0</v>
      </c>
      <c r="Q238" s="16">
        <f>[1]Items!Q224</f>
        <v>0</v>
      </c>
      <c r="R238" s="16">
        <f>[1]Items!R224</f>
        <v>0</v>
      </c>
      <c r="S238" s="16">
        <f>[1]Items!S224</f>
        <v>0</v>
      </c>
      <c r="W238">
        <f>IF('Dota 2'!$C$6, (Items!C238+Items!E238)*Items!$X$2, (Items!C238+Items!D238)*Items!$X$2)</f>
        <v>0</v>
      </c>
      <c r="X238">
        <f t="shared" si="18"/>
        <v>0</v>
      </c>
      <c r="Y238">
        <f t="shared" si="19"/>
        <v>0</v>
      </c>
      <c r="Z238">
        <f t="shared" si="20"/>
        <v>0</v>
      </c>
      <c r="AA238">
        <f t="shared" si="21"/>
        <v>0</v>
      </c>
      <c r="AB238">
        <f>('Dota 2'!$H$10/$Z$4) * (1-($Y$9*($AA$2+J238))/($Y$7+$Y$9*ABS($AA$2+J238)) - $Z$4)</f>
        <v>0</v>
      </c>
      <c r="AC238">
        <f>IF('Dota 2'!$C$6, K238*M238*(1-$Z$3)*'Dota 2'!$H$8, K238*L238*(1-$Z$3)*'Dota 2'!$H$8)</f>
        <v>0</v>
      </c>
      <c r="AD238">
        <f>N238*O238*'Dota 2'!$H$10</f>
        <v>0</v>
      </c>
      <c r="AE238" s="2">
        <f t="shared" si="22"/>
        <v>0</v>
      </c>
      <c r="AF238" s="17">
        <f t="shared" si="23"/>
        <v>0</v>
      </c>
    </row>
    <row r="239" spans="1:32" x14ac:dyDescent="0.25">
      <c r="A239" s="6">
        <f>[1]Items!$A225</f>
        <v>0</v>
      </c>
      <c r="B239" s="16">
        <f>[1]Items!B225</f>
        <v>0</v>
      </c>
      <c r="C239" s="16">
        <f>[1]Items!C225</f>
        <v>0</v>
      </c>
      <c r="D239" s="16">
        <f>[1]Items!D225</f>
        <v>0</v>
      </c>
      <c r="E239" s="16">
        <f>[1]Items!E225</f>
        <v>0</v>
      </c>
      <c r="F239" s="16">
        <f>[1]Items!F225</f>
        <v>0</v>
      </c>
      <c r="G239" s="16">
        <f>[1]Items!G225</f>
        <v>0</v>
      </c>
      <c r="H239" s="16">
        <f>[1]Items!H225</f>
        <v>0</v>
      </c>
      <c r="I239" s="16">
        <f>[1]Items!I225</f>
        <v>0</v>
      </c>
      <c r="J239" s="16">
        <f>[1]Items!J225</f>
        <v>0</v>
      </c>
      <c r="K239" s="16">
        <f>[1]Items!K225</f>
        <v>0</v>
      </c>
      <c r="L239" s="16">
        <f>[1]Items!L225</f>
        <v>0</v>
      </c>
      <c r="M239" s="16">
        <f>[1]Items!M225</f>
        <v>0</v>
      </c>
      <c r="N239" s="16">
        <f>[1]Items!N225</f>
        <v>0</v>
      </c>
      <c r="O239" s="16">
        <f>[1]Items!O225</f>
        <v>0</v>
      </c>
      <c r="P239" s="16">
        <f>[1]Items!P225</f>
        <v>0</v>
      </c>
      <c r="Q239" s="16">
        <f>[1]Items!Q225</f>
        <v>0</v>
      </c>
      <c r="R239" s="16">
        <f>[1]Items!R225</f>
        <v>0</v>
      </c>
      <c r="S239" s="16">
        <f>[1]Items!S225</f>
        <v>0</v>
      </c>
      <c r="W239">
        <f>IF('Dota 2'!$C$6, (Items!C239+Items!E239)*Items!$X$2, (Items!C239+Items!D239)*Items!$X$2)</f>
        <v>0</v>
      </c>
      <c r="X239">
        <f t="shared" si="18"/>
        <v>0</v>
      </c>
      <c r="Y239">
        <f t="shared" si="19"/>
        <v>0</v>
      </c>
      <c r="Z239">
        <f t="shared" si="20"/>
        <v>0</v>
      </c>
      <c r="AA239">
        <f t="shared" si="21"/>
        <v>0</v>
      </c>
      <c r="AB239">
        <f>('Dota 2'!$H$10/$Z$4) * (1-($Y$9*($AA$2+J239))/($Y$7+$Y$9*ABS($AA$2+J239)) - $Z$4)</f>
        <v>0</v>
      </c>
      <c r="AC239">
        <f>IF('Dota 2'!$C$6, K239*M239*(1-$Z$3)*'Dota 2'!$H$8, K239*L239*(1-$Z$3)*'Dota 2'!$H$8)</f>
        <v>0</v>
      </c>
      <c r="AD239">
        <f>N239*O239*'Dota 2'!$H$10</f>
        <v>0</v>
      </c>
      <c r="AE239" s="2">
        <f t="shared" si="22"/>
        <v>0</v>
      </c>
      <c r="AF239" s="17">
        <f t="shared" si="23"/>
        <v>0</v>
      </c>
    </row>
    <row r="240" spans="1:32" x14ac:dyDescent="0.25">
      <c r="A240" s="6">
        <f>[1]Items!$A226</f>
        <v>0</v>
      </c>
      <c r="B240" s="16">
        <f>[1]Items!B226</f>
        <v>0</v>
      </c>
      <c r="C240" s="16">
        <f>[1]Items!C226</f>
        <v>0</v>
      </c>
      <c r="D240" s="16">
        <f>[1]Items!D226</f>
        <v>0</v>
      </c>
      <c r="E240" s="16">
        <f>[1]Items!E226</f>
        <v>0</v>
      </c>
      <c r="F240" s="16">
        <f>[1]Items!F226</f>
        <v>0</v>
      </c>
      <c r="G240" s="16">
        <f>[1]Items!G226</f>
        <v>0</v>
      </c>
      <c r="H240" s="16">
        <f>[1]Items!H226</f>
        <v>0</v>
      </c>
      <c r="I240" s="16">
        <f>[1]Items!I226</f>
        <v>0</v>
      </c>
      <c r="J240" s="16">
        <f>[1]Items!J226</f>
        <v>0</v>
      </c>
      <c r="K240" s="16">
        <f>[1]Items!K226</f>
        <v>0</v>
      </c>
      <c r="L240" s="16">
        <f>[1]Items!L226</f>
        <v>0</v>
      </c>
      <c r="M240" s="16">
        <f>[1]Items!M226</f>
        <v>0</v>
      </c>
      <c r="N240" s="16">
        <f>[1]Items!N226</f>
        <v>0</v>
      </c>
      <c r="O240" s="16">
        <f>[1]Items!O226</f>
        <v>0</v>
      </c>
      <c r="P240" s="16">
        <f>[1]Items!P226</f>
        <v>0</v>
      </c>
      <c r="Q240" s="16">
        <f>[1]Items!Q226</f>
        <v>0</v>
      </c>
      <c r="R240" s="16">
        <f>[1]Items!R226</f>
        <v>0</v>
      </c>
      <c r="S240" s="16">
        <f>[1]Items!S226</f>
        <v>0</v>
      </c>
      <c r="W240">
        <f>IF('Dota 2'!$C$6, (Items!C240+Items!E240)*Items!$X$2, (Items!C240+Items!D240)*Items!$X$2)</f>
        <v>0</v>
      </c>
      <c r="X240">
        <f t="shared" si="18"/>
        <v>0</v>
      </c>
      <c r="Y240">
        <f t="shared" si="19"/>
        <v>0</v>
      </c>
      <c r="Z240">
        <f t="shared" si="20"/>
        <v>0</v>
      </c>
      <c r="AA240">
        <f t="shared" si="21"/>
        <v>0</v>
      </c>
      <c r="AB240">
        <f>('Dota 2'!$H$10/$Z$4) * (1-($Y$9*($AA$2+J240))/($Y$7+$Y$9*ABS($AA$2+J240)) - $Z$4)</f>
        <v>0</v>
      </c>
      <c r="AC240">
        <f>IF('Dota 2'!$C$6, K240*M240*(1-$Z$3)*'Dota 2'!$H$8, K240*L240*(1-$Z$3)*'Dota 2'!$H$8)</f>
        <v>0</v>
      </c>
      <c r="AD240">
        <f>N240*O240*'Dota 2'!$H$10</f>
        <v>0</v>
      </c>
      <c r="AE240" s="2">
        <f t="shared" si="22"/>
        <v>0</v>
      </c>
      <c r="AF240" s="17">
        <f t="shared" si="23"/>
        <v>0</v>
      </c>
    </row>
    <row r="241" spans="1:32" x14ac:dyDescent="0.25">
      <c r="A241" s="6">
        <f>[1]Items!$A227</f>
        <v>0</v>
      </c>
      <c r="B241" s="16">
        <f>[1]Items!B227</f>
        <v>0</v>
      </c>
      <c r="C241" s="16">
        <f>[1]Items!C227</f>
        <v>0</v>
      </c>
      <c r="D241" s="16">
        <f>[1]Items!D227</f>
        <v>0</v>
      </c>
      <c r="E241" s="16">
        <f>[1]Items!E227</f>
        <v>0</v>
      </c>
      <c r="F241" s="16">
        <f>[1]Items!F227</f>
        <v>0</v>
      </c>
      <c r="G241" s="16">
        <f>[1]Items!G227</f>
        <v>0</v>
      </c>
      <c r="H241" s="16">
        <f>[1]Items!H227</f>
        <v>0</v>
      </c>
      <c r="I241" s="16">
        <f>[1]Items!I227</f>
        <v>0</v>
      </c>
      <c r="J241" s="16">
        <f>[1]Items!J227</f>
        <v>0</v>
      </c>
      <c r="K241" s="16">
        <f>[1]Items!K227</f>
        <v>0</v>
      </c>
      <c r="L241" s="16">
        <f>[1]Items!L227</f>
        <v>0</v>
      </c>
      <c r="M241" s="16">
        <f>[1]Items!M227</f>
        <v>0</v>
      </c>
      <c r="N241" s="16">
        <f>[1]Items!N227</f>
        <v>0</v>
      </c>
      <c r="O241" s="16">
        <f>[1]Items!O227</f>
        <v>0</v>
      </c>
      <c r="P241" s="16">
        <f>[1]Items!P227</f>
        <v>0</v>
      </c>
      <c r="Q241" s="16">
        <f>[1]Items!Q227</f>
        <v>0</v>
      </c>
      <c r="R241" s="16">
        <f>[1]Items!R227</f>
        <v>0</v>
      </c>
      <c r="S241" s="16">
        <f>[1]Items!S227</f>
        <v>0</v>
      </c>
      <c r="W241">
        <f>IF('Dota 2'!$C$6, (Items!C241+Items!E241)*Items!$X$2, (Items!C241+Items!D241)*Items!$X$2)</f>
        <v>0</v>
      </c>
      <c r="X241">
        <f t="shared" si="18"/>
        <v>0</v>
      </c>
      <c r="Y241">
        <f t="shared" si="19"/>
        <v>0</v>
      </c>
      <c r="Z241">
        <f t="shared" si="20"/>
        <v>0</v>
      </c>
      <c r="AA241">
        <f t="shared" si="21"/>
        <v>0</v>
      </c>
      <c r="AB241">
        <f>('Dota 2'!$H$10/$Z$4) * (1-($Y$9*($AA$2+J241))/($Y$7+$Y$9*ABS($AA$2+J241)) - $Z$4)</f>
        <v>0</v>
      </c>
      <c r="AC241">
        <f>IF('Dota 2'!$C$6, K241*M241*(1-$Z$3)*'Dota 2'!$H$8, K241*L241*(1-$Z$3)*'Dota 2'!$H$8)</f>
        <v>0</v>
      </c>
      <c r="AD241">
        <f>N241*O241*'Dota 2'!$H$10</f>
        <v>0</v>
      </c>
      <c r="AE241" s="2">
        <f t="shared" si="22"/>
        <v>0</v>
      </c>
      <c r="AF241" s="17">
        <f t="shared" si="23"/>
        <v>0</v>
      </c>
    </row>
    <row r="242" spans="1:32" x14ac:dyDescent="0.25">
      <c r="A242" s="6">
        <f>[1]Items!$A228</f>
        <v>0</v>
      </c>
      <c r="B242" s="16">
        <f>[1]Items!B228</f>
        <v>0</v>
      </c>
      <c r="C242" s="16">
        <f>[1]Items!C228</f>
        <v>0</v>
      </c>
      <c r="D242" s="16">
        <f>[1]Items!D228</f>
        <v>0</v>
      </c>
      <c r="E242" s="16">
        <f>[1]Items!E228</f>
        <v>0</v>
      </c>
      <c r="F242" s="16">
        <f>[1]Items!F228</f>
        <v>0</v>
      </c>
      <c r="G242" s="16">
        <f>[1]Items!G228</f>
        <v>0</v>
      </c>
      <c r="H242" s="16">
        <f>[1]Items!H228</f>
        <v>0</v>
      </c>
      <c r="I242" s="16">
        <f>[1]Items!I228</f>
        <v>0</v>
      </c>
      <c r="J242" s="16">
        <f>[1]Items!J228</f>
        <v>0</v>
      </c>
      <c r="K242" s="16">
        <f>[1]Items!K228</f>
        <v>0</v>
      </c>
      <c r="L242" s="16">
        <f>[1]Items!L228</f>
        <v>0</v>
      </c>
      <c r="M242" s="16">
        <f>[1]Items!M228</f>
        <v>0</v>
      </c>
      <c r="N242" s="16">
        <f>[1]Items!N228</f>
        <v>0</v>
      </c>
      <c r="O242" s="16">
        <f>[1]Items!O228</f>
        <v>0</v>
      </c>
      <c r="P242" s="16">
        <f>[1]Items!P228</f>
        <v>0</v>
      </c>
      <c r="Q242" s="16">
        <f>[1]Items!Q228</f>
        <v>0</v>
      </c>
      <c r="R242" s="16">
        <f>[1]Items!R228</f>
        <v>0</v>
      </c>
      <c r="S242" s="16">
        <f>[1]Items!S228</f>
        <v>0</v>
      </c>
      <c r="W242">
        <f>IF('Dota 2'!$C$6, (Items!C242+Items!E242)*Items!$X$2, (Items!C242+Items!D242)*Items!$X$2)</f>
        <v>0</v>
      </c>
      <c r="X242">
        <f t="shared" si="18"/>
        <v>0</v>
      </c>
      <c r="Y242">
        <f t="shared" si="19"/>
        <v>0</v>
      </c>
      <c r="Z242">
        <f t="shared" si="20"/>
        <v>0</v>
      </c>
      <c r="AA242">
        <f t="shared" si="21"/>
        <v>0</v>
      </c>
      <c r="AB242">
        <f>('Dota 2'!$H$10/$Z$4) * (1-($Y$9*($AA$2+J242))/($Y$7+$Y$9*ABS($AA$2+J242)) - $Z$4)</f>
        <v>0</v>
      </c>
      <c r="AC242">
        <f>IF('Dota 2'!$C$6, K242*M242*(1-$Z$3)*'Dota 2'!$H$8, K242*L242*(1-$Z$3)*'Dota 2'!$H$8)</f>
        <v>0</v>
      </c>
      <c r="AD242">
        <f>N242*O242*'Dota 2'!$H$10</f>
        <v>0</v>
      </c>
      <c r="AE242" s="2">
        <f t="shared" si="22"/>
        <v>0</v>
      </c>
      <c r="AF242" s="17">
        <f t="shared" si="23"/>
        <v>0</v>
      </c>
    </row>
    <row r="243" spans="1:32" x14ac:dyDescent="0.25">
      <c r="A243" s="6">
        <f>[1]Items!$A229</f>
        <v>0</v>
      </c>
      <c r="B243" s="16">
        <f>[1]Items!B229</f>
        <v>0</v>
      </c>
      <c r="C243" s="16">
        <f>[1]Items!C229</f>
        <v>0</v>
      </c>
      <c r="D243" s="16">
        <f>[1]Items!D229</f>
        <v>0</v>
      </c>
      <c r="E243" s="16">
        <f>[1]Items!E229</f>
        <v>0</v>
      </c>
      <c r="F243" s="16">
        <f>[1]Items!F229</f>
        <v>0</v>
      </c>
      <c r="G243" s="16">
        <f>[1]Items!G229</f>
        <v>0</v>
      </c>
      <c r="H243" s="16">
        <f>[1]Items!H229</f>
        <v>0</v>
      </c>
      <c r="I243" s="16">
        <f>[1]Items!I229</f>
        <v>0</v>
      </c>
      <c r="J243" s="16">
        <f>[1]Items!J229</f>
        <v>0</v>
      </c>
      <c r="K243" s="16">
        <f>[1]Items!K229</f>
        <v>0</v>
      </c>
      <c r="L243" s="16">
        <f>[1]Items!L229</f>
        <v>0</v>
      </c>
      <c r="M243" s="16">
        <f>[1]Items!M229</f>
        <v>0</v>
      </c>
      <c r="N243" s="16">
        <f>[1]Items!N229</f>
        <v>0</v>
      </c>
      <c r="O243" s="16">
        <f>[1]Items!O229</f>
        <v>0</v>
      </c>
      <c r="P243" s="16">
        <f>[1]Items!P229</f>
        <v>0</v>
      </c>
      <c r="Q243" s="16">
        <f>[1]Items!Q229</f>
        <v>0</v>
      </c>
      <c r="R243" s="16">
        <f>[1]Items!R229</f>
        <v>0</v>
      </c>
      <c r="S243" s="16">
        <f>[1]Items!S229</f>
        <v>0</v>
      </c>
      <c r="W243">
        <f>IF('Dota 2'!$C$6, (Items!C243+Items!E243)*Items!$X$2, (Items!C243+Items!D243)*Items!$X$2)</f>
        <v>0</v>
      </c>
      <c r="X243">
        <f t="shared" si="18"/>
        <v>0</v>
      </c>
      <c r="Y243">
        <f t="shared" si="19"/>
        <v>0</v>
      </c>
      <c r="Z243">
        <f t="shared" si="20"/>
        <v>0</v>
      </c>
      <c r="AA243">
        <f t="shared" si="21"/>
        <v>0</v>
      </c>
      <c r="AB243">
        <f>('Dota 2'!$H$10/$Z$4) * (1-($Y$9*($AA$2+J243))/($Y$7+$Y$9*ABS($AA$2+J243)) - $Z$4)</f>
        <v>0</v>
      </c>
      <c r="AC243">
        <f>IF('Dota 2'!$C$6, K243*M243*(1-$Z$3)*'Dota 2'!$H$8, K243*L243*(1-$Z$3)*'Dota 2'!$H$8)</f>
        <v>0</v>
      </c>
      <c r="AD243">
        <f>N243*O243*'Dota 2'!$H$10</f>
        <v>0</v>
      </c>
      <c r="AE243" s="2">
        <f t="shared" si="22"/>
        <v>0</v>
      </c>
      <c r="AF243" s="17">
        <f t="shared" si="23"/>
        <v>0</v>
      </c>
    </row>
    <row r="244" spans="1:32" x14ac:dyDescent="0.25">
      <c r="A244" s="6">
        <f>[1]Items!$A230</f>
        <v>0</v>
      </c>
      <c r="B244" s="16">
        <f>[1]Items!B230</f>
        <v>0</v>
      </c>
      <c r="C244" s="16">
        <f>[1]Items!C230</f>
        <v>0</v>
      </c>
      <c r="D244" s="16">
        <f>[1]Items!D230</f>
        <v>0</v>
      </c>
      <c r="E244" s="16">
        <f>[1]Items!E230</f>
        <v>0</v>
      </c>
      <c r="F244" s="16">
        <f>[1]Items!F230</f>
        <v>0</v>
      </c>
      <c r="G244" s="16">
        <f>[1]Items!G230</f>
        <v>0</v>
      </c>
      <c r="H244" s="16">
        <f>[1]Items!H230</f>
        <v>0</v>
      </c>
      <c r="I244" s="16">
        <f>[1]Items!I230</f>
        <v>0</v>
      </c>
      <c r="J244" s="16">
        <f>[1]Items!J230</f>
        <v>0</v>
      </c>
      <c r="K244" s="16">
        <f>[1]Items!K230</f>
        <v>0</v>
      </c>
      <c r="L244" s="16">
        <f>[1]Items!L230</f>
        <v>0</v>
      </c>
      <c r="M244" s="16">
        <f>[1]Items!M230</f>
        <v>0</v>
      </c>
      <c r="N244" s="16">
        <f>[1]Items!N230</f>
        <v>0</v>
      </c>
      <c r="O244" s="16">
        <f>[1]Items!O230</f>
        <v>0</v>
      </c>
      <c r="P244" s="16">
        <f>[1]Items!P230</f>
        <v>0</v>
      </c>
      <c r="Q244" s="16">
        <f>[1]Items!Q230</f>
        <v>0</v>
      </c>
      <c r="R244" s="16">
        <f>[1]Items!R230</f>
        <v>0</v>
      </c>
      <c r="S244" s="16">
        <f>[1]Items!S230</f>
        <v>0</v>
      </c>
      <c r="W244">
        <f>IF('Dota 2'!$C$6, (Items!C244+Items!E244)*Items!$X$2, (Items!C244+Items!D244)*Items!$X$2)</f>
        <v>0</v>
      </c>
      <c r="X244">
        <f t="shared" si="18"/>
        <v>0</v>
      </c>
      <c r="Y244">
        <f t="shared" si="19"/>
        <v>0</v>
      </c>
      <c r="Z244">
        <f t="shared" si="20"/>
        <v>0</v>
      </c>
      <c r="AA244">
        <f t="shared" si="21"/>
        <v>0</v>
      </c>
      <c r="AB244">
        <f>('Dota 2'!$H$10/$Z$4) * (1-($Y$9*($AA$2+J244))/($Y$7+$Y$9*ABS($AA$2+J244)) - $Z$4)</f>
        <v>0</v>
      </c>
      <c r="AC244">
        <f>IF('Dota 2'!$C$6, K244*M244*(1-$Z$3)*'Dota 2'!$H$8, K244*L244*(1-$Z$3)*'Dota 2'!$H$8)</f>
        <v>0</v>
      </c>
      <c r="AD244">
        <f>N244*O244*'Dota 2'!$H$10</f>
        <v>0</v>
      </c>
      <c r="AE244" s="2">
        <f t="shared" si="22"/>
        <v>0</v>
      </c>
      <c r="AF244" s="17">
        <f t="shared" si="23"/>
        <v>0</v>
      </c>
    </row>
    <row r="245" spans="1:32" x14ac:dyDescent="0.25">
      <c r="A245" s="6">
        <f>[1]Items!$A231</f>
        <v>0</v>
      </c>
      <c r="B245" s="16">
        <f>[1]Items!B231</f>
        <v>0</v>
      </c>
      <c r="C245" s="16">
        <f>[1]Items!C231</f>
        <v>0</v>
      </c>
      <c r="D245" s="16">
        <f>[1]Items!D231</f>
        <v>0</v>
      </c>
      <c r="E245" s="16">
        <f>[1]Items!E231</f>
        <v>0</v>
      </c>
      <c r="F245" s="16">
        <f>[1]Items!F231</f>
        <v>0</v>
      </c>
      <c r="G245" s="16">
        <f>[1]Items!G231</f>
        <v>0</v>
      </c>
      <c r="H245" s="16">
        <f>[1]Items!H231</f>
        <v>0</v>
      </c>
      <c r="I245" s="16">
        <f>[1]Items!I231</f>
        <v>0</v>
      </c>
      <c r="J245" s="16">
        <f>[1]Items!J231</f>
        <v>0</v>
      </c>
      <c r="K245" s="16">
        <f>[1]Items!K231</f>
        <v>0</v>
      </c>
      <c r="L245" s="16">
        <f>[1]Items!L231</f>
        <v>0</v>
      </c>
      <c r="M245" s="16">
        <f>[1]Items!M231</f>
        <v>0</v>
      </c>
      <c r="N245" s="16">
        <f>[1]Items!N231</f>
        <v>0</v>
      </c>
      <c r="O245" s="16">
        <f>[1]Items!O231</f>
        <v>0</v>
      </c>
      <c r="P245" s="16">
        <f>[1]Items!P231</f>
        <v>0</v>
      </c>
      <c r="Q245" s="16">
        <f>[1]Items!Q231</f>
        <v>0</v>
      </c>
      <c r="R245" s="16">
        <f>[1]Items!R231</f>
        <v>0</v>
      </c>
      <c r="S245" s="16">
        <f>[1]Items!S231</f>
        <v>0</v>
      </c>
      <c r="W245">
        <f>IF('Dota 2'!$C$6, (Items!C245+Items!E245)*Items!$X$2, (Items!C245+Items!D245)*Items!$X$2)</f>
        <v>0</v>
      </c>
      <c r="X245">
        <f t="shared" si="18"/>
        <v>0</v>
      </c>
      <c r="Y245">
        <f t="shared" si="19"/>
        <v>0</v>
      </c>
      <c r="Z245">
        <f t="shared" si="20"/>
        <v>0</v>
      </c>
      <c r="AA245">
        <f t="shared" si="21"/>
        <v>0</v>
      </c>
      <c r="AB245">
        <f>('Dota 2'!$H$10/$Z$4) * (1-($Y$9*($AA$2+J245))/($Y$7+$Y$9*ABS($AA$2+J245)) - $Z$4)</f>
        <v>0</v>
      </c>
      <c r="AC245">
        <f>IF('Dota 2'!$C$6, K245*M245*(1-$Z$3)*'Dota 2'!$H$8, K245*L245*(1-$Z$3)*'Dota 2'!$H$8)</f>
        <v>0</v>
      </c>
      <c r="AD245">
        <f>N245*O245*'Dota 2'!$H$10</f>
        <v>0</v>
      </c>
      <c r="AE245" s="2">
        <f t="shared" si="22"/>
        <v>0</v>
      </c>
      <c r="AF245" s="17">
        <f t="shared" si="23"/>
        <v>0</v>
      </c>
    </row>
    <row r="246" spans="1:32" x14ac:dyDescent="0.25">
      <c r="A246" s="6">
        <f>[1]Items!$A232</f>
        <v>0</v>
      </c>
      <c r="B246" s="16">
        <f>[1]Items!B232</f>
        <v>0</v>
      </c>
      <c r="C246" s="16">
        <f>[1]Items!C232</f>
        <v>0</v>
      </c>
      <c r="D246" s="16">
        <f>[1]Items!D232</f>
        <v>0</v>
      </c>
      <c r="E246" s="16">
        <f>[1]Items!E232</f>
        <v>0</v>
      </c>
      <c r="F246" s="16">
        <f>[1]Items!F232</f>
        <v>0</v>
      </c>
      <c r="G246" s="16">
        <f>[1]Items!G232</f>
        <v>0</v>
      </c>
      <c r="H246" s="16">
        <f>[1]Items!H232</f>
        <v>0</v>
      </c>
      <c r="I246" s="16">
        <f>[1]Items!I232</f>
        <v>0</v>
      </c>
      <c r="J246" s="16">
        <f>[1]Items!J232</f>
        <v>0</v>
      </c>
      <c r="K246" s="16">
        <f>[1]Items!K232</f>
        <v>0</v>
      </c>
      <c r="L246" s="16">
        <f>[1]Items!L232</f>
        <v>0</v>
      </c>
      <c r="M246" s="16">
        <f>[1]Items!M232</f>
        <v>0</v>
      </c>
      <c r="N246" s="16">
        <f>[1]Items!N232</f>
        <v>0</v>
      </c>
      <c r="O246" s="16">
        <f>[1]Items!O232</f>
        <v>0</v>
      </c>
      <c r="P246" s="16">
        <f>[1]Items!P232</f>
        <v>0</v>
      </c>
      <c r="Q246" s="16">
        <f>[1]Items!Q232</f>
        <v>0</v>
      </c>
      <c r="R246" s="16">
        <f>[1]Items!R232</f>
        <v>0</v>
      </c>
      <c r="S246" s="16">
        <f>[1]Items!S232</f>
        <v>0</v>
      </c>
      <c r="W246">
        <f>IF('Dota 2'!$C$6, (Items!C246+Items!E246)*Items!$X$2, (Items!C246+Items!D246)*Items!$X$2)</f>
        <v>0</v>
      </c>
      <c r="X246">
        <f t="shared" si="18"/>
        <v>0</v>
      </c>
      <c r="Y246">
        <f t="shared" si="19"/>
        <v>0</v>
      </c>
      <c r="Z246">
        <f t="shared" si="20"/>
        <v>0</v>
      </c>
      <c r="AA246">
        <f t="shared" si="21"/>
        <v>0</v>
      </c>
      <c r="AB246">
        <f>('Dota 2'!$H$10/$Z$4) * (1-($Y$9*($AA$2+J246))/($Y$7+$Y$9*ABS($AA$2+J246)) - $Z$4)</f>
        <v>0</v>
      </c>
      <c r="AC246">
        <f>IF('Dota 2'!$C$6, K246*M246*(1-$Z$3)*'Dota 2'!$H$8, K246*L246*(1-$Z$3)*'Dota 2'!$H$8)</f>
        <v>0</v>
      </c>
      <c r="AD246">
        <f>N246*O246*'Dota 2'!$H$10</f>
        <v>0</v>
      </c>
      <c r="AE246" s="2">
        <f t="shared" si="22"/>
        <v>0</v>
      </c>
      <c r="AF246" s="17">
        <f t="shared" si="23"/>
        <v>0</v>
      </c>
    </row>
    <row r="247" spans="1:32" x14ac:dyDescent="0.25">
      <c r="A247" s="6">
        <f>[1]Items!$A233</f>
        <v>0</v>
      </c>
      <c r="B247" s="16">
        <f>[1]Items!B233</f>
        <v>0</v>
      </c>
      <c r="C247" s="16">
        <f>[1]Items!C233</f>
        <v>0</v>
      </c>
      <c r="D247" s="16">
        <f>[1]Items!D233</f>
        <v>0</v>
      </c>
      <c r="E247" s="16">
        <f>[1]Items!E233</f>
        <v>0</v>
      </c>
      <c r="F247" s="16">
        <f>[1]Items!F233</f>
        <v>0</v>
      </c>
      <c r="G247" s="16">
        <f>[1]Items!G233</f>
        <v>0</v>
      </c>
      <c r="H247" s="16">
        <f>[1]Items!H233</f>
        <v>0</v>
      </c>
      <c r="I247" s="16">
        <f>[1]Items!I233</f>
        <v>0</v>
      </c>
      <c r="J247" s="16">
        <f>[1]Items!J233</f>
        <v>0</v>
      </c>
      <c r="K247" s="16">
        <f>[1]Items!K233</f>
        <v>0</v>
      </c>
      <c r="L247" s="16">
        <f>[1]Items!L233</f>
        <v>0</v>
      </c>
      <c r="M247" s="16">
        <f>[1]Items!M233</f>
        <v>0</v>
      </c>
      <c r="N247" s="16">
        <f>[1]Items!N233</f>
        <v>0</v>
      </c>
      <c r="O247" s="16">
        <f>[1]Items!O233</f>
        <v>0</v>
      </c>
      <c r="P247" s="16">
        <f>[1]Items!P233</f>
        <v>0</v>
      </c>
      <c r="Q247" s="16">
        <f>[1]Items!Q233</f>
        <v>0</v>
      </c>
      <c r="R247" s="16">
        <f>[1]Items!R233</f>
        <v>0</v>
      </c>
      <c r="S247" s="16">
        <f>[1]Items!S233</f>
        <v>0</v>
      </c>
      <c r="W247">
        <f>IF('Dota 2'!$C$6, (Items!C247+Items!E247)*Items!$X$2, (Items!C247+Items!D247)*Items!$X$2)</f>
        <v>0</v>
      </c>
      <c r="X247">
        <f t="shared" si="18"/>
        <v>0</v>
      </c>
      <c r="Y247">
        <f t="shared" si="19"/>
        <v>0</v>
      </c>
      <c r="Z247">
        <f t="shared" si="20"/>
        <v>0</v>
      </c>
      <c r="AA247">
        <f t="shared" si="21"/>
        <v>0</v>
      </c>
      <c r="AB247">
        <f>('Dota 2'!$H$10/$Z$4) * (1-($Y$9*($AA$2+J247))/($Y$7+$Y$9*ABS($AA$2+J247)) - $Z$4)</f>
        <v>0</v>
      </c>
      <c r="AC247">
        <f>IF('Dota 2'!$C$6, K247*M247*(1-$Z$3)*'Dota 2'!$H$8, K247*L247*(1-$Z$3)*'Dota 2'!$H$8)</f>
        <v>0</v>
      </c>
      <c r="AD247">
        <f>N247*O247*'Dota 2'!$H$10</f>
        <v>0</v>
      </c>
      <c r="AE247" s="2">
        <f t="shared" si="22"/>
        <v>0</v>
      </c>
      <c r="AF247" s="17">
        <f t="shared" si="23"/>
        <v>0</v>
      </c>
    </row>
    <row r="248" spans="1:32" x14ac:dyDescent="0.25">
      <c r="A248" s="6">
        <f>[1]Items!$A234</f>
        <v>0</v>
      </c>
      <c r="B248" s="16">
        <f>[1]Items!B234</f>
        <v>0</v>
      </c>
      <c r="C248" s="16">
        <f>[1]Items!C234</f>
        <v>0</v>
      </c>
      <c r="D248" s="16">
        <f>[1]Items!D234</f>
        <v>0</v>
      </c>
      <c r="E248" s="16">
        <f>[1]Items!E234</f>
        <v>0</v>
      </c>
      <c r="F248" s="16">
        <f>[1]Items!F234</f>
        <v>0</v>
      </c>
      <c r="G248" s="16">
        <f>[1]Items!G234</f>
        <v>0</v>
      </c>
      <c r="H248" s="16">
        <f>[1]Items!H234</f>
        <v>0</v>
      </c>
      <c r="I248" s="16">
        <f>[1]Items!I234</f>
        <v>0</v>
      </c>
      <c r="J248" s="16">
        <f>[1]Items!J234</f>
        <v>0</v>
      </c>
      <c r="K248" s="16">
        <f>[1]Items!K234</f>
        <v>0</v>
      </c>
      <c r="L248" s="16">
        <f>[1]Items!L234</f>
        <v>0</v>
      </c>
      <c r="M248" s="16">
        <f>[1]Items!M234</f>
        <v>0</v>
      </c>
      <c r="N248" s="16">
        <f>[1]Items!N234</f>
        <v>0</v>
      </c>
      <c r="O248" s="16">
        <f>[1]Items!O234</f>
        <v>0</v>
      </c>
      <c r="P248" s="16">
        <f>[1]Items!P234</f>
        <v>0</v>
      </c>
      <c r="Q248" s="16">
        <f>[1]Items!Q234</f>
        <v>0</v>
      </c>
      <c r="R248" s="16">
        <f>[1]Items!R234</f>
        <v>0</v>
      </c>
      <c r="S248" s="16">
        <f>[1]Items!S234</f>
        <v>0</v>
      </c>
      <c r="W248">
        <f>IF('Dota 2'!$C$6, (Items!C248+Items!E248)*Items!$X$2, (Items!C248+Items!D248)*Items!$X$2)</f>
        <v>0</v>
      </c>
      <c r="X248">
        <f t="shared" si="18"/>
        <v>0</v>
      </c>
      <c r="Y248">
        <f t="shared" si="19"/>
        <v>0</v>
      </c>
      <c r="Z248">
        <f t="shared" si="20"/>
        <v>0</v>
      </c>
      <c r="AA248">
        <f t="shared" si="21"/>
        <v>0</v>
      </c>
      <c r="AB248">
        <f>('Dota 2'!$H$10/$Z$4) * (1-($Y$9*($AA$2+J248))/($Y$7+$Y$9*ABS($AA$2+J248)) - $Z$4)</f>
        <v>0</v>
      </c>
      <c r="AC248">
        <f>IF('Dota 2'!$C$6, K248*M248*(1-$Z$3)*'Dota 2'!$H$8, K248*L248*(1-$Z$3)*'Dota 2'!$H$8)</f>
        <v>0</v>
      </c>
      <c r="AD248">
        <f>N248*O248*'Dota 2'!$H$10</f>
        <v>0</v>
      </c>
      <c r="AE248" s="2">
        <f t="shared" si="22"/>
        <v>0</v>
      </c>
      <c r="AF248" s="17">
        <f t="shared" si="23"/>
        <v>0</v>
      </c>
    </row>
    <row r="249" spans="1:32" x14ac:dyDescent="0.25">
      <c r="A249" s="6">
        <f>[1]Items!$A235</f>
        <v>0</v>
      </c>
      <c r="B249" s="16">
        <f>[1]Items!B235</f>
        <v>0</v>
      </c>
      <c r="C249" s="16">
        <f>[1]Items!C235</f>
        <v>0</v>
      </c>
      <c r="D249" s="16">
        <f>[1]Items!D235</f>
        <v>0</v>
      </c>
      <c r="E249" s="16">
        <f>[1]Items!E235</f>
        <v>0</v>
      </c>
      <c r="F249" s="16">
        <f>[1]Items!F235</f>
        <v>0</v>
      </c>
      <c r="G249" s="16">
        <f>[1]Items!G235</f>
        <v>0</v>
      </c>
      <c r="H249" s="16">
        <f>[1]Items!H235</f>
        <v>0</v>
      </c>
      <c r="I249" s="16">
        <f>[1]Items!I235</f>
        <v>0</v>
      </c>
      <c r="J249" s="16">
        <f>[1]Items!J235</f>
        <v>0</v>
      </c>
      <c r="K249" s="16">
        <f>[1]Items!K235</f>
        <v>0</v>
      </c>
      <c r="L249" s="16">
        <f>[1]Items!L235</f>
        <v>0</v>
      </c>
      <c r="M249" s="16">
        <f>[1]Items!M235</f>
        <v>0</v>
      </c>
      <c r="N249" s="16">
        <f>[1]Items!N235</f>
        <v>0</v>
      </c>
      <c r="O249" s="16">
        <f>[1]Items!O235</f>
        <v>0</v>
      </c>
      <c r="P249" s="16">
        <f>[1]Items!P235</f>
        <v>0</v>
      </c>
      <c r="Q249" s="16">
        <f>[1]Items!Q235</f>
        <v>0</v>
      </c>
      <c r="R249" s="16">
        <f>[1]Items!R235</f>
        <v>0</v>
      </c>
      <c r="S249" s="16">
        <f>[1]Items!S235</f>
        <v>0</v>
      </c>
      <c r="W249">
        <f>IF('Dota 2'!$C$6, (Items!C249+Items!E249)*Items!$X$2, (Items!C249+Items!D249)*Items!$X$2)</f>
        <v>0</v>
      </c>
      <c r="X249">
        <f t="shared" si="18"/>
        <v>0</v>
      </c>
      <c r="Y249">
        <f t="shared" si="19"/>
        <v>0</v>
      </c>
      <c r="Z249">
        <f t="shared" si="20"/>
        <v>0</v>
      </c>
      <c r="AA249">
        <f t="shared" si="21"/>
        <v>0</v>
      </c>
      <c r="AB249">
        <f>('Dota 2'!$H$10/$Z$4) * (1-($Y$9*($AA$2+J249))/($Y$7+$Y$9*ABS($AA$2+J249)) - $Z$4)</f>
        <v>0</v>
      </c>
      <c r="AC249">
        <f>IF('Dota 2'!$C$6, K249*M249*(1-$Z$3)*'Dota 2'!$H$8, K249*L249*(1-$Z$3)*'Dota 2'!$H$8)</f>
        <v>0</v>
      </c>
      <c r="AD249">
        <f>N249*O249*'Dota 2'!$H$10</f>
        <v>0</v>
      </c>
      <c r="AE249" s="2">
        <f t="shared" si="22"/>
        <v>0</v>
      </c>
      <c r="AF249" s="17">
        <f t="shared" si="23"/>
        <v>0</v>
      </c>
    </row>
    <row r="250" spans="1:32" x14ac:dyDescent="0.25">
      <c r="A250" s="6">
        <f>[1]Items!$A236</f>
        <v>0</v>
      </c>
      <c r="B250" s="16">
        <f>[1]Items!B236</f>
        <v>0</v>
      </c>
      <c r="C250" s="16">
        <f>[1]Items!C236</f>
        <v>0</v>
      </c>
      <c r="D250" s="16">
        <f>[1]Items!D236</f>
        <v>0</v>
      </c>
      <c r="E250" s="16">
        <f>[1]Items!E236</f>
        <v>0</v>
      </c>
      <c r="F250" s="16">
        <f>[1]Items!F236</f>
        <v>0</v>
      </c>
      <c r="G250" s="16">
        <f>[1]Items!G236</f>
        <v>0</v>
      </c>
      <c r="H250" s="16">
        <f>[1]Items!H236</f>
        <v>0</v>
      </c>
      <c r="I250" s="16">
        <f>[1]Items!I236</f>
        <v>0</v>
      </c>
      <c r="J250" s="16">
        <f>[1]Items!J236</f>
        <v>0</v>
      </c>
      <c r="K250" s="16">
        <f>[1]Items!K236</f>
        <v>0</v>
      </c>
      <c r="L250" s="16">
        <f>[1]Items!L236</f>
        <v>0</v>
      </c>
      <c r="M250" s="16">
        <f>[1]Items!M236</f>
        <v>0</v>
      </c>
      <c r="N250" s="16">
        <f>[1]Items!N236</f>
        <v>0</v>
      </c>
      <c r="O250" s="16">
        <f>[1]Items!O236</f>
        <v>0</v>
      </c>
      <c r="P250" s="16">
        <f>[1]Items!P236</f>
        <v>0</v>
      </c>
      <c r="Q250" s="16">
        <f>[1]Items!Q236</f>
        <v>0</v>
      </c>
      <c r="R250" s="16">
        <f>[1]Items!R236</f>
        <v>0</v>
      </c>
      <c r="S250" s="16">
        <f>[1]Items!S236</f>
        <v>0</v>
      </c>
      <c r="W250">
        <f>IF('Dota 2'!$C$6, (Items!C250+Items!E250)*Items!$X$2, (Items!C250+Items!D250)*Items!$X$2)</f>
        <v>0</v>
      </c>
      <c r="X250">
        <f t="shared" si="18"/>
        <v>0</v>
      </c>
      <c r="Y250">
        <f t="shared" si="19"/>
        <v>0</v>
      </c>
      <c r="Z250">
        <f t="shared" si="20"/>
        <v>0</v>
      </c>
      <c r="AA250">
        <f t="shared" si="21"/>
        <v>0</v>
      </c>
      <c r="AB250">
        <f>('Dota 2'!$H$10/$Z$4) * (1-($Y$9*($AA$2+J250))/($Y$7+$Y$9*ABS($AA$2+J250)) - $Z$4)</f>
        <v>0</v>
      </c>
      <c r="AC250">
        <f>IF('Dota 2'!$C$6, K250*M250*(1-$Z$3)*'Dota 2'!$H$8, K250*L250*(1-$Z$3)*'Dota 2'!$H$8)</f>
        <v>0</v>
      </c>
      <c r="AD250">
        <f>N250*O250*'Dota 2'!$H$10</f>
        <v>0</v>
      </c>
      <c r="AE250" s="2">
        <f t="shared" si="22"/>
        <v>0</v>
      </c>
      <c r="AF250" s="17">
        <f t="shared" si="23"/>
        <v>0</v>
      </c>
    </row>
    <row r="251" spans="1:32" x14ac:dyDescent="0.25">
      <c r="A251" s="6">
        <f>[1]Items!$A237</f>
        <v>0</v>
      </c>
      <c r="B251" s="16">
        <f>[1]Items!B237</f>
        <v>0</v>
      </c>
      <c r="C251" s="16">
        <f>[1]Items!C237</f>
        <v>0</v>
      </c>
      <c r="D251" s="16">
        <f>[1]Items!D237</f>
        <v>0</v>
      </c>
      <c r="E251" s="16">
        <f>[1]Items!E237</f>
        <v>0</v>
      </c>
      <c r="F251" s="16">
        <f>[1]Items!F237</f>
        <v>0</v>
      </c>
      <c r="G251" s="16">
        <f>[1]Items!G237</f>
        <v>0</v>
      </c>
      <c r="H251" s="16">
        <f>[1]Items!H237</f>
        <v>0</v>
      </c>
      <c r="I251" s="16">
        <f>[1]Items!I237</f>
        <v>0</v>
      </c>
      <c r="J251" s="16">
        <f>[1]Items!J237</f>
        <v>0</v>
      </c>
      <c r="K251" s="16">
        <f>[1]Items!K237</f>
        <v>0</v>
      </c>
      <c r="L251" s="16">
        <f>[1]Items!L237</f>
        <v>0</v>
      </c>
      <c r="M251" s="16">
        <f>[1]Items!M237</f>
        <v>0</v>
      </c>
      <c r="N251" s="16">
        <f>[1]Items!N237</f>
        <v>0</v>
      </c>
      <c r="O251" s="16">
        <f>[1]Items!O237</f>
        <v>0</v>
      </c>
      <c r="P251" s="16">
        <f>[1]Items!P237</f>
        <v>0</v>
      </c>
      <c r="Q251" s="16">
        <f>[1]Items!Q237</f>
        <v>0</v>
      </c>
      <c r="R251" s="16">
        <f>[1]Items!R237</f>
        <v>0</v>
      </c>
      <c r="S251" s="16">
        <f>[1]Items!S237</f>
        <v>0</v>
      </c>
      <c r="W251">
        <f>IF('Dota 2'!$C$6, (Items!C251+Items!E251)*Items!$X$2, (Items!C251+Items!D251)*Items!$X$2)</f>
        <v>0</v>
      </c>
      <c r="X251">
        <f t="shared" si="18"/>
        <v>0</v>
      </c>
      <c r="Y251">
        <f t="shared" si="19"/>
        <v>0</v>
      </c>
      <c r="Z251">
        <f t="shared" si="20"/>
        <v>0</v>
      </c>
      <c r="AA251">
        <f t="shared" si="21"/>
        <v>0</v>
      </c>
      <c r="AB251">
        <f>('Dota 2'!$H$10/$Z$4) * (1-($Y$9*($AA$2+J251))/($Y$7+$Y$9*ABS($AA$2+J251)) - $Z$4)</f>
        <v>0</v>
      </c>
      <c r="AC251">
        <f>IF('Dota 2'!$C$6, K251*M251*(1-$Z$3)*'Dota 2'!$H$8, K251*L251*(1-$Z$3)*'Dota 2'!$H$8)</f>
        <v>0</v>
      </c>
      <c r="AD251">
        <f>N251*O251*'Dota 2'!$H$10</f>
        <v>0</v>
      </c>
      <c r="AE251" s="2">
        <f t="shared" si="22"/>
        <v>0</v>
      </c>
      <c r="AF251" s="17">
        <f t="shared" si="23"/>
        <v>0</v>
      </c>
    </row>
    <row r="252" spans="1:32" x14ac:dyDescent="0.25">
      <c r="A252" s="6">
        <f>[1]Items!$A238</f>
        <v>0</v>
      </c>
      <c r="B252" s="16">
        <f>[1]Items!B238</f>
        <v>0</v>
      </c>
      <c r="C252" s="16">
        <f>[1]Items!C238</f>
        <v>0</v>
      </c>
      <c r="D252" s="16">
        <f>[1]Items!D238</f>
        <v>0</v>
      </c>
      <c r="E252" s="16">
        <f>[1]Items!E238</f>
        <v>0</v>
      </c>
      <c r="F252" s="16">
        <f>[1]Items!F238</f>
        <v>0</v>
      </c>
      <c r="G252" s="16">
        <f>[1]Items!G238</f>
        <v>0</v>
      </c>
      <c r="H252" s="16">
        <f>[1]Items!H238</f>
        <v>0</v>
      </c>
      <c r="I252" s="16">
        <f>[1]Items!I238</f>
        <v>0</v>
      </c>
      <c r="J252" s="16">
        <f>[1]Items!J238</f>
        <v>0</v>
      </c>
      <c r="K252" s="16">
        <f>[1]Items!K238</f>
        <v>0</v>
      </c>
      <c r="L252" s="16">
        <f>[1]Items!L238</f>
        <v>0</v>
      </c>
      <c r="M252" s="16">
        <f>[1]Items!M238</f>
        <v>0</v>
      </c>
      <c r="N252" s="16">
        <f>[1]Items!N238</f>
        <v>0</v>
      </c>
      <c r="O252" s="16">
        <f>[1]Items!O238</f>
        <v>0</v>
      </c>
      <c r="P252" s="16">
        <f>[1]Items!P238</f>
        <v>0</v>
      </c>
      <c r="Q252" s="16">
        <f>[1]Items!Q238</f>
        <v>0</v>
      </c>
      <c r="R252" s="16">
        <f>[1]Items!R238</f>
        <v>0</v>
      </c>
      <c r="S252" s="16">
        <f>[1]Items!S238</f>
        <v>0</v>
      </c>
      <c r="W252">
        <f>IF('Dota 2'!$C$6, (Items!C252+Items!E252)*Items!$X$2, (Items!C252+Items!D252)*Items!$X$2)</f>
        <v>0</v>
      </c>
      <c r="X252">
        <f t="shared" si="18"/>
        <v>0</v>
      </c>
      <c r="Y252">
        <f t="shared" si="19"/>
        <v>0</v>
      </c>
      <c r="Z252">
        <f t="shared" si="20"/>
        <v>0</v>
      </c>
      <c r="AA252">
        <f t="shared" si="21"/>
        <v>0</v>
      </c>
      <c r="AB252">
        <f>('Dota 2'!$H$10/$Z$4) * (1-($Y$9*($AA$2+J252))/($Y$7+$Y$9*ABS($AA$2+J252)) - $Z$4)</f>
        <v>0</v>
      </c>
      <c r="AC252">
        <f>IF('Dota 2'!$C$6, K252*M252*(1-$Z$3)*'Dota 2'!$H$8, K252*L252*(1-$Z$3)*'Dota 2'!$H$8)</f>
        <v>0</v>
      </c>
      <c r="AD252">
        <f>N252*O252*'Dota 2'!$H$10</f>
        <v>0</v>
      </c>
      <c r="AE252" s="2">
        <f t="shared" si="22"/>
        <v>0</v>
      </c>
      <c r="AF252" s="17">
        <f t="shared" si="23"/>
        <v>0</v>
      </c>
    </row>
    <row r="253" spans="1:32" x14ac:dyDescent="0.25">
      <c r="A253" s="6">
        <f>[1]Items!$A239</f>
        <v>0</v>
      </c>
      <c r="B253" s="16">
        <f>[1]Items!B239</f>
        <v>0</v>
      </c>
      <c r="C253" s="16">
        <f>[1]Items!C239</f>
        <v>0</v>
      </c>
      <c r="D253" s="16">
        <f>[1]Items!D239</f>
        <v>0</v>
      </c>
      <c r="E253" s="16">
        <f>[1]Items!E239</f>
        <v>0</v>
      </c>
      <c r="F253" s="16">
        <f>[1]Items!F239</f>
        <v>0</v>
      </c>
      <c r="G253" s="16">
        <f>[1]Items!G239</f>
        <v>0</v>
      </c>
      <c r="H253" s="16">
        <f>[1]Items!H239</f>
        <v>0</v>
      </c>
      <c r="I253" s="16">
        <f>[1]Items!I239</f>
        <v>0</v>
      </c>
      <c r="J253" s="16">
        <f>[1]Items!J239</f>
        <v>0</v>
      </c>
      <c r="K253" s="16">
        <f>[1]Items!K239</f>
        <v>0</v>
      </c>
      <c r="L253" s="16">
        <f>[1]Items!L239</f>
        <v>0</v>
      </c>
      <c r="M253" s="16">
        <f>[1]Items!M239</f>
        <v>0</v>
      </c>
      <c r="N253" s="16">
        <f>[1]Items!N239</f>
        <v>0</v>
      </c>
      <c r="O253" s="16">
        <f>[1]Items!O239</f>
        <v>0</v>
      </c>
      <c r="P253" s="16">
        <f>[1]Items!P239</f>
        <v>0</v>
      </c>
      <c r="Q253" s="16">
        <f>[1]Items!Q239</f>
        <v>0</v>
      </c>
      <c r="R253" s="16">
        <f>[1]Items!R239</f>
        <v>0</v>
      </c>
      <c r="S253" s="16">
        <f>[1]Items!S239</f>
        <v>0</v>
      </c>
      <c r="W253">
        <f>IF('Dota 2'!$C$6, (Items!C253+Items!E253)*Items!$X$2, (Items!C253+Items!D253)*Items!$X$2)</f>
        <v>0</v>
      </c>
      <c r="X253">
        <f t="shared" si="18"/>
        <v>0</v>
      </c>
      <c r="Y253">
        <f t="shared" si="19"/>
        <v>0</v>
      </c>
      <c r="Z253">
        <f t="shared" si="20"/>
        <v>0</v>
      </c>
      <c r="AA253">
        <f t="shared" si="21"/>
        <v>0</v>
      </c>
      <c r="AB253">
        <f>('Dota 2'!$H$10/$Z$4) * (1-($Y$9*($AA$2+J253))/($Y$7+$Y$9*ABS($AA$2+J253)) - $Z$4)</f>
        <v>0</v>
      </c>
      <c r="AC253">
        <f>IF('Dota 2'!$C$6, K253*M253*(1-$Z$3)*'Dota 2'!$H$8, K253*L253*(1-$Z$3)*'Dota 2'!$H$8)</f>
        <v>0</v>
      </c>
      <c r="AD253">
        <f>N253*O253*'Dota 2'!$H$10</f>
        <v>0</v>
      </c>
      <c r="AE253" s="2">
        <f t="shared" si="22"/>
        <v>0</v>
      </c>
      <c r="AF253" s="17">
        <f t="shared" si="23"/>
        <v>0</v>
      </c>
    </row>
    <row r="254" spans="1:32" x14ac:dyDescent="0.25">
      <c r="A254" s="6">
        <f>[1]Items!$A240</f>
        <v>0</v>
      </c>
      <c r="B254" s="16">
        <f>[1]Items!B240</f>
        <v>0</v>
      </c>
      <c r="C254" s="16">
        <f>[1]Items!C240</f>
        <v>0</v>
      </c>
      <c r="D254" s="16">
        <f>[1]Items!D240</f>
        <v>0</v>
      </c>
      <c r="E254" s="16">
        <f>[1]Items!E240</f>
        <v>0</v>
      </c>
      <c r="F254" s="16">
        <f>[1]Items!F240</f>
        <v>0</v>
      </c>
      <c r="G254" s="16">
        <f>[1]Items!G240</f>
        <v>0</v>
      </c>
      <c r="H254" s="16">
        <f>[1]Items!H240</f>
        <v>0</v>
      </c>
      <c r="I254" s="16">
        <f>[1]Items!I240</f>
        <v>0</v>
      </c>
      <c r="J254" s="16">
        <f>[1]Items!J240</f>
        <v>0</v>
      </c>
      <c r="K254" s="16">
        <f>[1]Items!K240</f>
        <v>0</v>
      </c>
      <c r="L254" s="16">
        <f>[1]Items!L240</f>
        <v>0</v>
      </c>
      <c r="M254" s="16">
        <f>[1]Items!M240</f>
        <v>0</v>
      </c>
      <c r="N254" s="16">
        <f>[1]Items!N240</f>
        <v>0</v>
      </c>
      <c r="O254" s="16">
        <f>[1]Items!O240</f>
        <v>0</v>
      </c>
      <c r="P254" s="16">
        <f>[1]Items!P240</f>
        <v>0</v>
      </c>
      <c r="Q254" s="16">
        <f>[1]Items!Q240</f>
        <v>0</v>
      </c>
      <c r="R254" s="16">
        <f>[1]Items!R240</f>
        <v>0</v>
      </c>
      <c r="S254" s="16">
        <f>[1]Items!S240</f>
        <v>0</v>
      </c>
      <c r="W254">
        <f>IF('Dota 2'!$C$6, (Items!C254+Items!E254)*Items!$X$2, (Items!C254+Items!D254)*Items!$X$2)</f>
        <v>0</v>
      </c>
      <c r="X254">
        <f t="shared" si="18"/>
        <v>0</v>
      </c>
      <c r="Y254">
        <f t="shared" si="19"/>
        <v>0</v>
      </c>
      <c r="Z254">
        <f t="shared" si="20"/>
        <v>0</v>
      </c>
      <c r="AA254">
        <f t="shared" si="21"/>
        <v>0</v>
      </c>
      <c r="AB254">
        <f>('Dota 2'!$H$10/$Z$4) * (1-($Y$9*($AA$2+J254))/($Y$7+$Y$9*ABS($AA$2+J254)) - $Z$4)</f>
        <v>0</v>
      </c>
      <c r="AC254">
        <f>IF('Dota 2'!$C$6, K254*M254*(1-$Z$3)*'Dota 2'!$H$8, K254*L254*(1-$Z$3)*'Dota 2'!$H$8)</f>
        <v>0</v>
      </c>
      <c r="AD254">
        <f>N254*O254*'Dota 2'!$H$10</f>
        <v>0</v>
      </c>
      <c r="AE254" s="2">
        <f t="shared" si="22"/>
        <v>0</v>
      </c>
      <c r="AF254" s="17">
        <f t="shared" si="23"/>
        <v>0</v>
      </c>
    </row>
    <row r="255" spans="1:32" x14ac:dyDescent="0.25">
      <c r="A255" s="6">
        <f>[1]Items!$A241</f>
        <v>0</v>
      </c>
      <c r="B255" s="16">
        <f>[1]Items!B241</f>
        <v>0</v>
      </c>
      <c r="C255" s="16">
        <f>[1]Items!C241</f>
        <v>0</v>
      </c>
      <c r="D255" s="16">
        <f>[1]Items!D241</f>
        <v>0</v>
      </c>
      <c r="E255" s="16">
        <f>[1]Items!E241</f>
        <v>0</v>
      </c>
      <c r="F255" s="16">
        <f>[1]Items!F241</f>
        <v>0</v>
      </c>
      <c r="G255" s="16">
        <f>[1]Items!G241</f>
        <v>0</v>
      </c>
      <c r="H255" s="16">
        <f>[1]Items!H241</f>
        <v>0</v>
      </c>
      <c r="I255" s="16">
        <f>[1]Items!I241</f>
        <v>0</v>
      </c>
      <c r="J255" s="16">
        <f>[1]Items!J241</f>
        <v>0</v>
      </c>
      <c r="K255" s="16">
        <f>[1]Items!K241</f>
        <v>0</v>
      </c>
      <c r="L255" s="16">
        <f>[1]Items!L241</f>
        <v>0</v>
      </c>
      <c r="M255" s="16">
        <f>[1]Items!M241</f>
        <v>0</v>
      </c>
      <c r="N255" s="16">
        <f>[1]Items!N241</f>
        <v>0</v>
      </c>
      <c r="O255" s="16">
        <f>[1]Items!O241</f>
        <v>0</v>
      </c>
      <c r="P255" s="16">
        <f>[1]Items!P241</f>
        <v>0</v>
      </c>
      <c r="Q255" s="16">
        <f>[1]Items!Q241</f>
        <v>0</v>
      </c>
      <c r="R255" s="16">
        <f>[1]Items!R241</f>
        <v>0</v>
      </c>
      <c r="S255" s="16">
        <f>[1]Items!S241</f>
        <v>0</v>
      </c>
      <c r="W255">
        <f>IF('Dota 2'!$C$6, (Items!C255+Items!E255)*Items!$X$2, (Items!C255+Items!D255)*Items!$X$2)</f>
        <v>0</v>
      </c>
      <c r="X255">
        <f t="shared" si="18"/>
        <v>0</v>
      </c>
      <c r="Y255">
        <f t="shared" si="19"/>
        <v>0</v>
      </c>
      <c r="Z255">
        <f t="shared" si="20"/>
        <v>0</v>
      </c>
      <c r="AA255">
        <f t="shared" si="21"/>
        <v>0</v>
      </c>
      <c r="AB255">
        <f>('Dota 2'!$H$10/$Z$4) * (1-($Y$9*($AA$2+J255))/($Y$7+$Y$9*ABS($AA$2+J255)) - $Z$4)</f>
        <v>0</v>
      </c>
      <c r="AC255">
        <f>IF('Dota 2'!$C$6, K255*M255*(1-$Z$3)*'Dota 2'!$H$8, K255*L255*(1-$Z$3)*'Dota 2'!$H$8)</f>
        <v>0</v>
      </c>
      <c r="AD255">
        <f>N255*O255*'Dota 2'!$H$10</f>
        <v>0</v>
      </c>
      <c r="AE255" s="2">
        <f t="shared" si="22"/>
        <v>0</v>
      </c>
      <c r="AF255" s="17">
        <f t="shared" si="23"/>
        <v>0</v>
      </c>
    </row>
    <row r="256" spans="1:32" x14ac:dyDescent="0.25">
      <c r="A256" s="6">
        <f>[1]Items!$A242</f>
        <v>0</v>
      </c>
      <c r="B256" s="16">
        <f>[1]Items!B242</f>
        <v>0</v>
      </c>
      <c r="C256" s="16">
        <f>[1]Items!C242</f>
        <v>0</v>
      </c>
      <c r="D256" s="16">
        <f>[1]Items!D242</f>
        <v>0</v>
      </c>
      <c r="E256" s="16">
        <f>[1]Items!E242</f>
        <v>0</v>
      </c>
      <c r="F256" s="16">
        <f>[1]Items!F242</f>
        <v>0</v>
      </c>
      <c r="G256" s="16">
        <f>[1]Items!G242</f>
        <v>0</v>
      </c>
      <c r="H256" s="16">
        <f>[1]Items!H242</f>
        <v>0</v>
      </c>
      <c r="I256" s="16">
        <f>[1]Items!I242</f>
        <v>0</v>
      </c>
      <c r="J256" s="16">
        <f>[1]Items!J242</f>
        <v>0</v>
      </c>
      <c r="K256" s="16">
        <f>[1]Items!K242</f>
        <v>0</v>
      </c>
      <c r="L256" s="16">
        <f>[1]Items!L242</f>
        <v>0</v>
      </c>
      <c r="M256" s="16">
        <f>[1]Items!M242</f>
        <v>0</v>
      </c>
      <c r="N256" s="16">
        <f>[1]Items!N242</f>
        <v>0</v>
      </c>
      <c r="O256" s="16">
        <f>[1]Items!O242</f>
        <v>0</v>
      </c>
      <c r="P256" s="16">
        <f>[1]Items!P242</f>
        <v>0</v>
      </c>
      <c r="Q256" s="16">
        <f>[1]Items!Q242</f>
        <v>0</v>
      </c>
      <c r="R256" s="16">
        <f>[1]Items!R242</f>
        <v>0</v>
      </c>
      <c r="S256" s="16">
        <f>[1]Items!S242</f>
        <v>0</v>
      </c>
      <c r="W256">
        <f>IF('Dota 2'!$C$6, (Items!C256+Items!E256)*Items!$X$2, (Items!C256+Items!D256)*Items!$X$2)</f>
        <v>0</v>
      </c>
      <c r="X256">
        <f t="shared" si="18"/>
        <v>0</v>
      </c>
      <c r="Y256">
        <f t="shared" si="19"/>
        <v>0</v>
      </c>
      <c r="Z256">
        <f t="shared" si="20"/>
        <v>0</v>
      </c>
      <c r="AA256">
        <f t="shared" si="21"/>
        <v>0</v>
      </c>
      <c r="AB256">
        <f>('Dota 2'!$H$10/$Z$4) * (1-($Y$9*($AA$2+J256))/($Y$7+$Y$9*ABS($AA$2+J256)) - $Z$4)</f>
        <v>0</v>
      </c>
      <c r="AC256">
        <f>IF('Dota 2'!$C$6, K256*M256*(1-$Z$3)*'Dota 2'!$H$8, K256*L256*(1-$Z$3)*'Dota 2'!$H$8)</f>
        <v>0</v>
      </c>
      <c r="AD256">
        <f>N256*O256*'Dota 2'!$H$10</f>
        <v>0</v>
      </c>
      <c r="AE256" s="2">
        <f t="shared" si="22"/>
        <v>0</v>
      </c>
      <c r="AF256" s="17">
        <f t="shared" si="23"/>
        <v>0</v>
      </c>
    </row>
    <row r="257" spans="1:32" x14ac:dyDescent="0.25">
      <c r="A257" s="6">
        <f>[1]Items!$A243</f>
        <v>0</v>
      </c>
      <c r="B257" s="16">
        <f>[1]Items!B243</f>
        <v>0</v>
      </c>
      <c r="C257" s="16">
        <f>[1]Items!C243</f>
        <v>0</v>
      </c>
      <c r="D257" s="16">
        <f>[1]Items!D243</f>
        <v>0</v>
      </c>
      <c r="E257" s="16">
        <f>[1]Items!E243</f>
        <v>0</v>
      </c>
      <c r="F257" s="16">
        <f>[1]Items!F243</f>
        <v>0</v>
      </c>
      <c r="G257" s="16">
        <f>[1]Items!G243</f>
        <v>0</v>
      </c>
      <c r="H257" s="16">
        <f>[1]Items!H243</f>
        <v>0</v>
      </c>
      <c r="I257" s="16">
        <f>[1]Items!I243</f>
        <v>0</v>
      </c>
      <c r="J257" s="16">
        <f>[1]Items!J243</f>
        <v>0</v>
      </c>
      <c r="K257" s="16">
        <f>[1]Items!K243</f>
        <v>0</v>
      </c>
      <c r="L257" s="16">
        <f>[1]Items!L243</f>
        <v>0</v>
      </c>
      <c r="M257" s="16">
        <f>[1]Items!M243</f>
        <v>0</v>
      </c>
      <c r="N257" s="16">
        <f>[1]Items!N243</f>
        <v>0</v>
      </c>
      <c r="O257" s="16">
        <f>[1]Items!O243</f>
        <v>0</v>
      </c>
      <c r="P257" s="16">
        <f>[1]Items!P243</f>
        <v>0</v>
      </c>
      <c r="Q257" s="16">
        <f>[1]Items!Q243</f>
        <v>0</v>
      </c>
      <c r="R257" s="16">
        <f>[1]Items!R243</f>
        <v>0</v>
      </c>
      <c r="S257" s="16">
        <f>[1]Items!S243</f>
        <v>0</v>
      </c>
      <c r="W257">
        <f>IF('Dota 2'!$C$6, (Items!C257+Items!E257)*Items!$X$2, (Items!C257+Items!D257)*Items!$X$2)</f>
        <v>0</v>
      </c>
      <c r="X257">
        <f t="shared" si="18"/>
        <v>0</v>
      </c>
      <c r="Y257">
        <f t="shared" si="19"/>
        <v>0</v>
      </c>
      <c r="Z257">
        <f t="shared" si="20"/>
        <v>0</v>
      </c>
      <c r="AA257">
        <f t="shared" si="21"/>
        <v>0</v>
      </c>
      <c r="AB257">
        <f>('Dota 2'!$H$10/$Z$4) * (1-($Y$9*($AA$2+J257))/($Y$7+$Y$9*ABS($AA$2+J257)) - $Z$4)</f>
        <v>0</v>
      </c>
      <c r="AC257">
        <f>IF('Dota 2'!$C$6, K257*M257*(1-$Z$3)*'Dota 2'!$H$8, K257*L257*(1-$Z$3)*'Dota 2'!$H$8)</f>
        <v>0</v>
      </c>
      <c r="AD257">
        <f>N257*O257*'Dota 2'!$H$10</f>
        <v>0</v>
      </c>
      <c r="AE257" s="2">
        <f t="shared" si="22"/>
        <v>0</v>
      </c>
      <c r="AF257" s="17">
        <f t="shared" si="23"/>
        <v>0</v>
      </c>
    </row>
    <row r="258" spans="1:32" x14ac:dyDescent="0.25">
      <c r="A258" s="6">
        <f>[1]Items!$A244</f>
        <v>0</v>
      </c>
      <c r="B258" s="16">
        <f>[1]Items!B244</f>
        <v>0</v>
      </c>
      <c r="C258" s="16">
        <f>[1]Items!C244</f>
        <v>0</v>
      </c>
      <c r="D258" s="16">
        <f>[1]Items!D244</f>
        <v>0</v>
      </c>
      <c r="E258" s="16">
        <f>[1]Items!E244</f>
        <v>0</v>
      </c>
      <c r="F258" s="16">
        <f>[1]Items!F244</f>
        <v>0</v>
      </c>
      <c r="G258" s="16">
        <f>[1]Items!G244</f>
        <v>0</v>
      </c>
      <c r="H258" s="16">
        <f>[1]Items!H244</f>
        <v>0</v>
      </c>
      <c r="I258" s="16">
        <f>[1]Items!I244</f>
        <v>0</v>
      </c>
      <c r="J258" s="16">
        <f>[1]Items!J244</f>
        <v>0</v>
      </c>
      <c r="K258" s="16">
        <f>[1]Items!K244</f>
        <v>0</v>
      </c>
      <c r="L258" s="16">
        <f>[1]Items!L244</f>
        <v>0</v>
      </c>
      <c r="M258" s="16">
        <f>[1]Items!M244</f>
        <v>0</v>
      </c>
      <c r="N258" s="16">
        <f>[1]Items!N244</f>
        <v>0</v>
      </c>
      <c r="O258" s="16">
        <f>[1]Items!O244</f>
        <v>0</v>
      </c>
      <c r="P258" s="16">
        <f>[1]Items!P244</f>
        <v>0</v>
      </c>
      <c r="Q258" s="16">
        <f>[1]Items!Q244</f>
        <v>0</v>
      </c>
      <c r="R258" s="16">
        <f>[1]Items!R244</f>
        <v>0</v>
      </c>
      <c r="S258" s="16">
        <f>[1]Items!S244</f>
        <v>0</v>
      </c>
      <c r="W258">
        <f>IF('Dota 2'!$C$6, (Items!C258+Items!E258)*Items!$X$2, (Items!C258+Items!D258)*Items!$X$2)</f>
        <v>0</v>
      </c>
      <c r="X258">
        <f t="shared" si="18"/>
        <v>0</v>
      </c>
      <c r="Y258">
        <f t="shared" si="19"/>
        <v>0</v>
      </c>
      <c r="Z258">
        <f t="shared" si="20"/>
        <v>0</v>
      </c>
      <c r="AA258">
        <f t="shared" si="21"/>
        <v>0</v>
      </c>
      <c r="AB258">
        <f>('Dota 2'!$H$10/$Z$4) * (1-($Y$9*($AA$2+J258))/($Y$7+$Y$9*ABS($AA$2+J258)) - $Z$4)</f>
        <v>0</v>
      </c>
      <c r="AC258">
        <f>IF('Dota 2'!$C$6, K258*M258*(1-$Z$3)*'Dota 2'!$H$8, K258*L258*(1-$Z$3)*'Dota 2'!$H$8)</f>
        <v>0</v>
      </c>
      <c r="AD258">
        <f>N258*O258*'Dota 2'!$H$10</f>
        <v>0</v>
      </c>
      <c r="AE258" s="2">
        <f t="shared" si="22"/>
        <v>0</v>
      </c>
      <c r="AF258" s="17">
        <f t="shared" si="23"/>
        <v>0</v>
      </c>
    </row>
    <row r="259" spans="1:32" x14ac:dyDescent="0.25">
      <c r="A259" s="6">
        <f>[1]Items!$A245</f>
        <v>0</v>
      </c>
      <c r="B259" s="16">
        <f>[1]Items!B245</f>
        <v>0</v>
      </c>
      <c r="C259" s="16">
        <f>[1]Items!C245</f>
        <v>0</v>
      </c>
      <c r="D259" s="16">
        <f>[1]Items!D245</f>
        <v>0</v>
      </c>
      <c r="E259" s="16">
        <f>[1]Items!E245</f>
        <v>0</v>
      </c>
      <c r="F259" s="16">
        <f>[1]Items!F245</f>
        <v>0</v>
      </c>
      <c r="G259" s="16">
        <f>[1]Items!G245</f>
        <v>0</v>
      </c>
      <c r="H259" s="16">
        <f>[1]Items!H245</f>
        <v>0</v>
      </c>
      <c r="I259" s="16">
        <f>[1]Items!I245</f>
        <v>0</v>
      </c>
      <c r="J259" s="16">
        <f>[1]Items!J245</f>
        <v>0</v>
      </c>
      <c r="K259" s="16">
        <f>[1]Items!K245</f>
        <v>0</v>
      </c>
      <c r="L259" s="16">
        <f>[1]Items!L245</f>
        <v>0</v>
      </c>
      <c r="M259" s="16">
        <f>[1]Items!M245</f>
        <v>0</v>
      </c>
      <c r="N259" s="16">
        <f>[1]Items!N245</f>
        <v>0</v>
      </c>
      <c r="O259" s="16">
        <f>[1]Items!O245</f>
        <v>0</v>
      </c>
      <c r="P259" s="16">
        <f>[1]Items!P245</f>
        <v>0</v>
      </c>
      <c r="Q259" s="16">
        <f>[1]Items!Q245</f>
        <v>0</v>
      </c>
      <c r="R259" s="16">
        <f>[1]Items!R245</f>
        <v>0</v>
      </c>
      <c r="S259" s="16">
        <f>[1]Items!S245</f>
        <v>0</v>
      </c>
      <c r="W259">
        <f>IF('Dota 2'!$C$6, (Items!C259+Items!E259)*Items!$X$2, (Items!C259+Items!D259)*Items!$X$2)</f>
        <v>0</v>
      </c>
      <c r="X259">
        <f t="shared" si="18"/>
        <v>0</v>
      </c>
      <c r="Y259">
        <f t="shared" si="19"/>
        <v>0</v>
      </c>
      <c r="Z259">
        <f t="shared" si="20"/>
        <v>0</v>
      </c>
      <c r="AA259">
        <f t="shared" si="21"/>
        <v>0</v>
      </c>
      <c r="AB259">
        <f>('Dota 2'!$H$10/$Z$4) * (1-($Y$9*($AA$2+J259))/($Y$7+$Y$9*ABS($AA$2+J259)) - $Z$4)</f>
        <v>0</v>
      </c>
      <c r="AC259">
        <f>IF('Dota 2'!$C$6, K259*M259*(1-$Z$3)*'Dota 2'!$H$8, K259*L259*(1-$Z$3)*'Dota 2'!$H$8)</f>
        <v>0</v>
      </c>
      <c r="AD259">
        <f>N259*O259*'Dota 2'!$H$10</f>
        <v>0</v>
      </c>
      <c r="AE259" s="2">
        <f t="shared" si="22"/>
        <v>0</v>
      </c>
      <c r="AF259" s="17">
        <f t="shared" si="23"/>
        <v>0</v>
      </c>
    </row>
    <row r="260" spans="1:32" x14ac:dyDescent="0.25">
      <c r="A260" s="6">
        <f>[1]Items!$A246</f>
        <v>0</v>
      </c>
      <c r="B260" s="16">
        <f>[1]Items!B246</f>
        <v>0</v>
      </c>
      <c r="C260" s="16">
        <f>[1]Items!C246</f>
        <v>0</v>
      </c>
      <c r="D260" s="16">
        <f>[1]Items!D246</f>
        <v>0</v>
      </c>
      <c r="E260" s="16">
        <f>[1]Items!E246</f>
        <v>0</v>
      </c>
      <c r="F260" s="16">
        <f>[1]Items!F246</f>
        <v>0</v>
      </c>
      <c r="G260" s="16">
        <f>[1]Items!G246</f>
        <v>0</v>
      </c>
      <c r="H260" s="16">
        <f>[1]Items!H246</f>
        <v>0</v>
      </c>
      <c r="I260" s="16">
        <f>[1]Items!I246</f>
        <v>0</v>
      </c>
      <c r="J260" s="16">
        <f>[1]Items!J246</f>
        <v>0</v>
      </c>
      <c r="K260" s="16">
        <f>[1]Items!K246</f>
        <v>0</v>
      </c>
      <c r="L260" s="16">
        <f>[1]Items!L246</f>
        <v>0</v>
      </c>
      <c r="M260" s="16">
        <f>[1]Items!M246</f>
        <v>0</v>
      </c>
      <c r="N260" s="16">
        <f>[1]Items!N246</f>
        <v>0</v>
      </c>
      <c r="O260" s="16">
        <f>[1]Items!O246</f>
        <v>0</v>
      </c>
      <c r="P260" s="16">
        <f>[1]Items!P246</f>
        <v>0</v>
      </c>
      <c r="Q260" s="16">
        <f>[1]Items!Q246</f>
        <v>0</v>
      </c>
      <c r="R260" s="16">
        <f>[1]Items!R246</f>
        <v>0</v>
      </c>
      <c r="S260" s="16">
        <f>[1]Items!S246</f>
        <v>0</v>
      </c>
      <c r="W260">
        <f>IF('Dota 2'!$C$6, (Items!C260+Items!E260)*Items!$X$2, (Items!C260+Items!D260)*Items!$X$2)</f>
        <v>0</v>
      </c>
      <c r="X260">
        <f t="shared" si="18"/>
        <v>0</v>
      </c>
      <c r="Y260">
        <f t="shared" si="19"/>
        <v>0</v>
      </c>
      <c r="Z260">
        <f t="shared" si="20"/>
        <v>0</v>
      </c>
      <c r="AA260">
        <f t="shared" si="21"/>
        <v>0</v>
      </c>
      <c r="AB260">
        <f>('Dota 2'!$H$10/$Z$4) * (1-($Y$9*($AA$2+J260))/($Y$7+$Y$9*ABS($AA$2+J260)) - $Z$4)</f>
        <v>0</v>
      </c>
      <c r="AC260">
        <f>IF('Dota 2'!$C$6, K260*M260*(1-$Z$3)*'Dota 2'!$H$8, K260*L260*(1-$Z$3)*'Dota 2'!$H$8)</f>
        <v>0</v>
      </c>
      <c r="AD260">
        <f>N260*O260*'Dota 2'!$H$10</f>
        <v>0</v>
      </c>
      <c r="AE260" s="2">
        <f t="shared" si="22"/>
        <v>0</v>
      </c>
      <c r="AF260" s="17">
        <f t="shared" si="23"/>
        <v>0</v>
      </c>
    </row>
    <row r="261" spans="1:32" x14ac:dyDescent="0.25">
      <c r="A261" s="6">
        <f>[1]Items!$A247</f>
        <v>0</v>
      </c>
      <c r="B261" s="16">
        <f>[1]Items!B247</f>
        <v>0</v>
      </c>
      <c r="C261" s="16">
        <f>[1]Items!C247</f>
        <v>0</v>
      </c>
      <c r="D261" s="16">
        <f>[1]Items!D247</f>
        <v>0</v>
      </c>
      <c r="E261" s="16">
        <f>[1]Items!E247</f>
        <v>0</v>
      </c>
      <c r="F261" s="16">
        <f>[1]Items!F247</f>
        <v>0</v>
      </c>
      <c r="G261" s="16">
        <f>[1]Items!G247</f>
        <v>0</v>
      </c>
      <c r="H261" s="16">
        <f>[1]Items!H247</f>
        <v>0</v>
      </c>
      <c r="I261" s="16">
        <f>[1]Items!I247</f>
        <v>0</v>
      </c>
      <c r="J261" s="16">
        <f>[1]Items!J247</f>
        <v>0</v>
      </c>
      <c r="K261" s="16">
        <f>[1]Items!K247</f>
        <v>0</v>
      </c>
      <c r="L261" s="16">
        <f>[1]Items!L247</f>
        <v>0</v>
      </c>
      <c r="M261" s="16">
        <f>[1]Items!M247</f>
        <v>0</v>
      </c>
      <c r="N261" s="16">
        <f>[1]Items!N247</f>
        <v>0</v>
      </c>
      <c r="O261" s="16">
        <f>[1]Items!O247</f>
        <v>0</v>
      </c>
      <c r="P261" s="16">
        <f>[1]Items!P247</f>
        <v>0</v>
      </c>
      <c r="Q261" s="16">
        <f>[1]Items!Q247</f>
        <v>0</v>
      </c>
      <c r="R261" s="16">
        <f>[1]Items!R247</f>
        <v>0</v>
      </c>
      <c r="S261" s="16">
        <f>[1]Items!S247</f>
        <v>0</v>
      </c>
      <c r="W261">
        <f>IF('Dota 2'!$C$6, (Items!C261+Items!E261)*Items!$X$2, (Items!C261+Items!D261)*Items!$X$2)</f>
        <v>0</v>
      </c>
      <c r="X261">
        <f t="shared" si="18"/>
        <v>0</v>
      </c>
      <c r="Y261">
        <f t="shared" si="19"/>
        <v>0</v>
      </c>
      <c r="Z261">
        <f t="shared" si="20"/>
        <v>0</v>
      </c>
      <c r="AA261">
        <f t="shared" si="21"/>
        <v>0</v>
      </c>
      <c r="AB261">
        <f>('Dota 2'!$H$10/$Z$4) * (1-($Y$9*($AA$2+J261))/($Y$7+$Y$9*ABS($AA$2+J261)) - $Z$4)</f>
        <v>0</v>
      </c>
      <c r="AC261">
        <f>IF('Dota 2'!$C$6, K261*M261*(1-$Z$3)*'Dota 2'!$H$8, K261*L261*(1-$Z$3)*'Dota 2'!$H$8)</f>
        <v>0</v>
      </c>
      <c r="AD261">
        <f>N261*O261*'Dota 2'!$H$10</f>
        <v>0</v>
      </c>
      <c r="AE261" s="2">
        <f t="shared" si="22"/>
        <v>0</v>
      </c>
      <c r="AF261" s="17">
        <f t="shared" si="23"/>
        <v>0</v>
      </c>
    </row>
    <row r="262" spans="1:32" x14ac:dyDescent="0.25">
      <c r="A262" s="6">
        <f>[1]Items!$A248</f>
        <v>0</v>
      </c>
      <c r="B262" s="16">
        <f>[1]Items!B248</f>
        <v>0</v>
      </c>
      <c r="C262" s="16">
        <f>[1]Items!C248</f>
        <v>0</v>
      </c>
      <c r="D262" s="16">
        <f>[1]Items!D248</f>
        <v>0</v>
      </c>
      <c r="E262" s="16">
        <f>[1]Items!E248</f>
        <v>0</v>
      </c>
      <c r="F262" s="16">
        <f>[1]Items!F248</f>
        <v>0</v>
      </c>
      <c r="G262" s="16">
        <f>[1]Items!G248</f>
        <v>0</v>
      </c>
      <c r="H262" s="16">
        <f>[1]Items!H248</f>
        <v>0</v>
      </c>
      <c r="I262" s="16">
        <f>[1]Items!I248</f>
        <v>0</v>
      </c>
      <c r="J262" s="16">
        <f>[1]Items!J248</f>
        <v>0</v>
      </c>
      <c r="K262" s="16">
        <f>[1]Items!K248</f>
        <v>0</v>
      </c>
      <c r="L262" s="16">
        <f>[1]Items!L248</f>
        <v>0</v>
      </c>
      <c r="M262" s="16">
        <f>[1]Items!M248</f>
        <v>0</v>
      </c>
      <c r="N262" s="16">
        <f>[1]Items!N248</f>
        <v>0</v>
      </c>
      <c r="O262" s="16">
        <f>[1]Items!O248</f>
        <v>0</v>
      </c>
      <c r="P262" s="16">
        <f>[1]Items!P248</f>
        <v>0</v>
      </c>
      <c r="Q262" s="16">
        <f>[1]Items!Q248</f>
        <v>0</v>
      </c>
      <c r="R262" s="16">
        <f>[1]Items!R248</f>
        <v>0</v>
      </c>
      <c r="S262" s="16">
        <f>[1]Items!S248</f>
        <v>0</v>
      </c>
      <c r="W262">
        <f>IF('Dota 2'!$C$6, (Items!C262+Items!E262)*Items!$X$2, (Items!C262+Items!D262)*Items!$X$2)</f>
        <v>0</v>
      </c>
      <c r="X262">
        <f t="shared" si="18"/>
        <v>0</v>
      </c>
      <c r="Y262">
        <f t="shared" si="19"/>
        <v>0</v>
      </c>
      <c r="Z262">
        <f t="shared" si="20"/>
        <v>0</v>
      </c>
      <c r="AA262">
        <f t="shared" si="21"/>
        <v>0</v>
      </c>
      <c r="AB262">
        <f>('Dota 2'!$H$10/$Z$4) * (1-($Y$9*($AA$2+J262))/($Y$7+$Y$9*ABS($AA$2+J262)) - $Z$4)</f>
        <v>0</v>
      </c>
      <c r="AC262">
        <f>IF('Dota 2'!$C$6, K262*M262*(1-$Z$3)*'Dota 2'!$H$8, K262*L262*(1-$Z$3)*'Dota 2'!$H$8)</f>
        <v>0</v>
      </c>
      <c r="AD262">
        <f>N262*O262*'Dota 2'!$H$10</f>
        <v>0</v>
      </c>
      <c r="AE262" s="2">
        <f t="shared" si="22"/>
        <v>0</v>
      </c>
      <c r="AF262" s="17">
        <f t="shared" si="23"/>
        <v>0</v>
      </c>
    </row>
    <row r="263" spans="1:32" x14ac:dyDescent="0.25">
      <c r="A263" s="6">
        <f>[1]Items!$A249</f>
        <v>0</v>
      </c>
      <c r="B263" s="16">
        <f>[1]Items!B249</f>
        <v>0</v>
      </c>
      <c r="C263" s="16">
        <f>[1]Items!C249</f>
        <v>0</v>
      </c>
      <c r="D263" s="16">
        <f>[1]Items!D249</f>
        <v>0</v>
      </c>
      <c r="E263" s="16">
        <f>[1]Items!E249</f>
        <v>0</v>
      </c>
      <c r="F263" s="16">
        <f>[1]Items!F249</f>
        <v>0</v>
      </c>
      <c r="G263" s="16">
        <f>[1]Items!G249</f>
        <v>0</v>
      </c>
      <c r="H263" s="16">
        <f>[1]Items!H249</f>
        <v>0</v>
      </c>
      <c r="I263" s="16">
        <f>[1]Items!I249</f>
        <v>0</v>
      </c>
      <c r="J263" s="16">
        <f>[1]Items!J249</f>
        <v>0</v>
      </c>
      <c r="K263" s="16">
        <f>[1]Items!K249</f>
        <v>0</v>
      </c>
      <c r="L263" s="16">
        <f>[1]Items!L249</f>
        <v>0</v>
      </c>
      <c r="M263" s="16">
        <f>[1]Items!M249</f>
        <v>0</v>
      </c>
      <c r="N263" s="16">
        <f>[1]Items!N249</f>
        <v>0</v>
      </c>
      <c r="O263" s="16">
        <f>[1]Items!O249</f>
        <v>0</v>
      </c>
      <c r="P263" s="16">
        <f>[1]Items!P249</f>
        <v>0</v>
      </c>
      <c r="Q263" s="16">
        <f>[1]Items!Q249</f>
        <v>0</v>
      </c>
      <c r="R263" s="16">
        <f>[1]Items!R249</f>
        <v>0</v>
      </c>
      <c r="S263" s="16">
        <f>[1]Items!S249</f>
        <v>0</v>
      </c>
      <c r="W263">
        <f>IF('Dota 2'!$C$6, (Items!C263+Items!E263)*Items!$X$2, (Items!C263+Items!D263)*Items!$X$2)</f>
        <v>0</v>
      </c>
      <c r="X263">
        <f t="shared" si="18"/>
        <v>0</v>
      </c>
      <c r="Y263">
        <f t="shared" si="19"/>
        <v>0</v>
      </c>
      <c r="Z263">
        <f t="shared" si="20"/>
        <v>0</v>
      </c>
      <c r="AA263">
        <f t="shared" si="21"/>
        <v>0</v>
      </c>
      <c r="AB263">
        <f>('Dota 2'!$H$10/$Z$4) * (1-($Y$9*($AA$2+J263))/($Y$7+$Y$9*ABS($AA$2+J263)) - $Z$4)</f>
        <v>0</v>
      </c>
      <c r="AC263">
        <f>IF('Dota 2'!$C$6, K263*M263*(1-$Z$3)*'Dota 2'!$H$8, K263*L263*(1-$Z$3)*'Dota 2'!$H$8)</f>
        <v>0</v>
      </c>
      <c r="AD263">
        <f>N263*O263*'Dota 2'!$H$10</f>
        <v>0</v>
      </c>
      <c r="AE263" s="2">
        <f t="shared" si="22"/>
        <v>0</v>
      </c>
      <c r="AF263" s="17">
        <f t="shared" si="23"/>
        <v>0</v>
      </c>
    </row>
    <row r="264" spans="1:32" x14ac:dyDescent="0.25">
      <c r="A264" s="6">
        <f>[1]Items!$A250</f>
        <v>0</v>
      </c>
      <c r="B264" s="16">
        <f>[1]Items!B250</f>
        <v>0</v>
      </c>
      <c r="C264" s="16">
        <f>[1]Items!C250</f>
        <v>0</v>
      </c>
      <c r="D264" s="16">
        <f>[1]Items!D250</f>
        <v>0</v>
      </c>
      <c r="E264" s="16">
        <f>[1]Items!E250</f>
        <v>0</v>
      </c>
      <c r="F264" s="16">
        <f>[1]Items!F250</f>
        <v>0</v>
      </c>
      <c r="G264" s="16">
        <f>[1]Items!G250</f>
        <v>0</v>
      </c>
      <c r="H264" s="16">
        <f>[1]Items!H250</f>
        <v>0</v>
      </c>
      <c r="I264" s="16">
        <f>[1]Items!I250</f>
        <v>0</v>
      </c>
      <c r="J264" s="16">
        <f>[1]Items!J250</f>
        <v>0</v>
      </c>
      <c r="K264" s="16">
        <f>[1]Items!K250</f>
        <v>0</v>
      </c>
      <c r="L264" s="16">
        <f>[1]Items!L250</f>
        <v>0</v>
      </c>
      <c r="M264" s="16">
        <f>[1]Items!M250</f>
        <v>0</v>
      </c>
      <c r="N264" s="16">
        <f>[1]Items!N250</f>
        <v>0</v>
      </c>
      <c r="O264" s="16">
        <f>[1]Items!O250</f>
        <v>0</v>
      </c>
      <c r="P264" s="16">
        <f>[1]Items!P250</f>
        <v>0</v>
      </c>
      <c r="Q264" s="16">
        <f>[1]Items!Q250</f>
        <v>0</v>
      </c>
      <c r="R264" s="16">
        <f>[1]Items!R250</f>
        <v>0</v>
      </c>
      <c r="S264" s="16">
        <f>[1]Items!S250</f>
        <v>0</v>
      </c>
      <c r="W264">
        <f>IF('Dota 2'!$C$6, (Items!C264+Items!E264)*Items!$X$2, (Items!C264+Items!D264)*Items!$X$2)</f>
        <v>0</v>
      </c>
      <c r="X264">
        <f t="shared" si="18"/>
        <v>0</v>
      </c>
      <c r="Y264">
        <f t="shared" si="19"/>
        <v>0</v>
      </c>
      <c r="Z264">
        <f t="shared" si="20"/>
        <v>0</v>
      </c>
      <c r="AA264">
        <f t="shared" si="21"/>
        <v>0</v>
      </c>
      <c r="AB264">
        <f>('Dota 2'!$H$10/$Z$4) * (1-($Y$9*($AA$2+J264))/($Y$7+$Y$9*ABS($AA$2+J264)) - $Z$4)</f>
        <v>0</v>
      </c>
      <c r="AC264">
        <f>IF('Dota 2'!$C$6, K264*M264*(1-$Z$3)*'Dota 2'!$H$8, K264*L264*(1-$Z$3)*'Dota 2'!$H$8)</f>
        <v>0</v>
      </c>
      <c r="AD264">
        <f>N264*O264*'Dota 2'!$H$10</f>
        <v>0</v>
      </c>
      <c r="AE264" s="2">
        <f t="shared" si="22"/>
        <v>0</v>
      </c>
      <c r="AF264" s="17">
        <f t="shared" si="23"/>
        <v>0</v>
      </c>
    </row>
    <row r="265" spans="1:32" x14ac:dyDescent="0.25">
      <c r="A265" s="6">
        <f>[1]Items!$A251</f>
        <v>0</v>
      </c>
      <c r="B265" s="16">
        <f>[1]Items!B251</f>
        <v>0</v>
      </c>
      <c r="C265" s="16">
        <f>[1]Items!C251</f>
        <v>0</v>
      </c>
      <c r="D265" s="16">
        <f>[1]Items!D251</f>
        <v>0</v>
      </c>
      <c r="E265" s="16">
        <f>[1]Items!E251</f>
        <v>0</v>
      </c>
      <c r="F265" s="16">
        <f>[1]Items!F251</f>
        <v>0</v>
      </c>
      <c r="G265" s="16">
        <f>[1]Items!G251</f>
        <v>0</v>
      </c>
      <c r="H265" s="16">
        <f>[1]Items!H251</f>
        <v>0</v>
      </c>
      <c r="I265" s="16">
        <f>[1]Items!I251</f>
        <v>0</v>
      </c>
      <c r="J265" s="16">
        <f>[1]Items!J251</f>
        <v>0</v>
      </c>
      <c r="K265" s="16">
        <f>[1]Items!K251</f>
        <v>0</v>
      </c>
      <c r="L265" s="16">
        <f>[1]Items!L251</f>
        <v>0</v>
      </c>
      <c r="M265" s="16">
        <f>[1]Items!M251</f>
        <v>0</v>
      </c>
      <c r="N265" s="16">
        <f>[1]Items!N251</f>
        <v>0</v>
      </c>
      <c r="O265" s="16">
        <f>[1]Items!O251</f>
        <v>0</v>
      </c>
      <c r="P265" s="16">
        <f>[1]Items!P251</f>
        <v>0</v>
      </c>
      <c r="Q265" s="16">
        <f>[1]Items!Q251</f>
        <v>0</v>
      </c>
      <c r="R265" s="16">
        <f>[1]Items!R251</f>
        <v>0</v>
      </c>
      <c r="S265" s="16">
        <f>[1]Items!S251</f>
        <v>0</v>
      </c>
      <c r="W265">
        <f>IF('Dota 2'!$C$6, (Items!C265+Items!E265)*Items!$X$2, (Items!C265+Items!D265)*Items!$X$2)</f>
        <v>0</v>
      </c>
      <c r="X265">
        <f t="shared" si="18"/>
        <v>0</v>
      </c>
      <c r="Y265">
        <f t="shared" si="19"/>
        <v>0</v>
      </c>
      <c r="Z265">
        <f t="shared" si="20"/>
        <v>0</v>
      </c>
      <c r="AA265">
        <f t="shared" si="21"/>
        <v>0</v>
      </c>
      <c r="AB265">
        <f>('Dota 2'!$H$10/$Z$4) * (1-($Y$9*($AA$2+J265))/($Y$7+$Y$9*ABS($AA$2+J265)) - $Z$4)</f>
        <v>0</v>
      </c>
      <c r="AC265">
        <f>IF('Dota 2'!$C$6, K265*M265*(1-$Z$3)*'Dota 2'!$H$8, K265*L265*(1-$Z$3)*'Dota 2'!$H$8)</f>
        <v>0</v>
      </c>
      <c r="AD265">
        <f>N265*O265*'Dota 2'!$H$10</f>
        <v>0</v>
      </c>
      <c r="AE265" s="2">
        <f t="shared" si="22"/>
        <v>0</v>
      </c>
      <c r="AF265" s="17">
        <f t="shared" si="23"/>
        <v>0</v>
      </c>
    </row>
    <row r="266" spans="1:32" x14ac:dyDescent="0.25">
      <c r="A266" s="6">
        <f>[1]Items!$A252</f>
        <v>0</v>
      </c>
      <c r="B266" s="16">
        <f>[1]Items!B252</f>
        <v>0</v>
      </c>
      <c r="C266" s="16">
        <f>[1]Items!C252</f>
        <v>0</v>
      </c>
      <c r="D266" s="16">
        <f>[1]Items!D252</f>
        <v>0</v>
      </c>
      <c r="E266" s="16">
        <f>[1]Items!E252</f>
        <v>0</v>
      </c>
      <c r="F266" s="16">
        <f>[1]Items!F252</f>
        <v>0</v>
      </c>
      <c r="G266" s="16">
        <f>[1]Items!G252</f>
        <v>0</v>
      </c>
      <c r="H266" s="16">
        <f>[1]Items!H252</f>
        <v>0</v>
      </c>
      <c r="I266" s="16">
        <f>[1]Items!I252</f>
        <v>0</v>
      </c>
      <c r="J266" s="16">
        <f>[1]Items!J252</f>
        <v>0</v>
      </c>
      <c r="K266" s="16">
        <f>[1]Items!K252</f>
        <v>0</v>
      </c>
      <c r="L266" s="16">
        <f>[1]Items!L252</f>
        <v>0</v>
      </c>
      <c r="M266" s="16">
        <f>[1]Items!M252</f>
        <v>0</v>
      </c>
      <c r="N266" s="16">
        <f>[1]Items!N252</f>
        <v>0</v>
      </c>
      <c r="O266" s="16">
        <f>[1]Items!O252</f>
        <v>0</v>
      </c>
      <c r="P266" s="16">
        <f>[1]Items!P252</f>
        <v>0</v>
      </c>
      <c r="Q266" s="16">
        <f>[1]Items!Q252</f>
        <v>0</v>
      </c>
      <c r="R266" s="16">
        <f>[1]Items!R252</f>
        <v>0</v>
      </c>
      <c r="S266" s="16">
        <f>[1]Items!S252</f>
        <v>0</v>
      </c>
      <c r="W266">
        <f>IF('Dota 2'!$C$6, (Items!C266+Items!E266)*Items!$X$2, (Items!C266+Items!D266)*Items!$X$2)</f>
        <v>0</v>
      </c>
      <c r="X266">
        <f t="shared" si="18"/>
        <v>0</v>
      </c>
      <c r="Y266">
        <f t="shared" si="19"/>
        <v>0</v>
      </c>
      <c r="Z266">
        <f t="shared" si="20"/>
        <v>0</v>
      </c>
      <c r="AA266">
        <f t="shared" si="21"/>
        <v>0</v>
      </c>
      <c r="AB266">
        <f>('Dota 2'!$H$10/$Z$4) * (1-($Y$9*($AA$2+J266))/($Y$7+$Y$9*ABS($AA$2+J266)) - $Z$4)</f>
        <v>0</v>
      </c>
      <c r="AC266">
        <f>IF('Dota 2'!$C$6, K266*M266*(1-$Z$3)*'Dota 2'!$H$8, K266*L266*(1-$Z$3)*'Dota 2'!$H$8)</f>
        <v>0</v>
      </c>
      <c r="AD266">
        <f>N266*O266*'Dota 2'!$H$10</f>
        <v>0</v>
      </c>
      <c r="AE266" s="2">
        <f t="shared" si="22"/>
        <v>0</v>
      </c>
      <c r="AF266" s="17">
        <f t="shared" si="23"/>
        <v>0</v>
      </c>
    </row>
    <row r="267" spans="1:32" x14ac:dyDescent="0.25">
      <c r="A267" s="6">
        <f>[1]Items!$A253</f>
        <v>0</v>
      </c>
      <c r="B267" s="16">
        <f>[1]Items!B253</f>
        <v>0</v>
      </c>
      <c r="C267" s="16">
        <f>[1]Items!C253</f>
        <v>0</v>
      </c>
      <c r="D267" s="16">
        <f>[1]Items!D253</f>
        <v>0</v>
      </c>
      <c r="E267" s="16">
        <f>[1]Items!E253</f>
        <v>0</v>
      </c>
      <c r="F267" s="16">
        <f>[1]Items!F253</f>
        <v>0</v>
      </c>
      <c r="G267" s="16">
        <f>[1]Items!G253</f>
        <v>0</v>
      </c>
      <c r="H267" s="16">
        <f>[1]Items!H253</f>
        <v>0</v>
      </c>
      <c r="I267" s="16">
        <f>[1]Items!I253</f>
        <v>0</v>
      </c>
      <c r="J267" s="16">
        <f>[1]Items!J253</f>
        <v>0</v>
      </c>
      <c r="K267" s="16">
        <f>[1]Items!K253</f>
        <v>0</v>
      </c>
      <c r="L267" s="16">
        <f>[1]Items!L253</f>
        <v>0</v>
      </c>
      <c r="M267" s="16">
        <f>[1]Items!M253</f>
        <v>0</v>
      </c>
      <c r="N267" s="16">
        <f>[1]Items!N253</f>
        <v>0</v>
      </c>
      <c r="O267" s="16">
        <f>[1]Items!O253</f>
        <v>0</v>
      </c>
      <c r="P267" s="16">
        <f>[1]Items!P253</f>
        <v>0</v>
      </c>
      <c r="Q267" s="16">
        <f>[1]Items!Q253</f>
        <v>0</v>
      </c>
      <c r="R267" s="16">
        <f>[1]Items!R253</f>
        <v>0</v>
      </c>
      <c r="S267" s="16">
        <f>[1]Items!S253</f>
        <v>0</v>
      </c>
      <c r="W267">
        <f>IF('Dota 2'!$C$6, (Items!C267+Items!E267)*Items!$X$2, (Items!C267+Items!D267)*Items!$X$2)</f>
        <v>0</v>
      </c>
      <c r="X267">
        <f t="shared" si="18"/>
        <v>0</v>
      </c>
      <c r="Y267">
        <f t="shared" si="19"/>
        <v>0</v>
      </c>
      <c r="Z267">
        <f t="shared" si="20"/>
        <v>0</v>
      </c>
      <c r="AA267">
        <f t="shared" si="21"/>
        <v>0</v>
      </c>
      <c r="AB267">
        <f>('Dota 2'!$H$10/$Z$4) * (1-($Y$9*($AA$2+J267))/($Y$7+$Y$9*ABS($AA$2+J267)) - $Z$4)</f>
        <v>0</v>
      </c>
      <c r="AC267">
        <f>IF('Dota 2'!$C$6, K267*M267*(1-$Z$3)*'Dota 2'!$H$8, K267*L267*(1-$Z$3)*'Dota 2'!$H$8)</f>
        <v>0</v>
      </c>
      <c r="AD267">
        <f>N267*O267*'Dota 2'!$H$10</f>
        <v>0</v>
      </c>
      <c r="AE267" s="2">
        <f t="shared" si="22"/>
        <v>0</v>
      </c>
      <c r="AF267" s="17">
        <f t="shared" si="23"/>
        <v>0</v>
      </c>
    </row>
    <row r="268" spans="1:32" x14ac:dyDescent="0.25">
      <c r="A268" s="6">
        <f>[1]Items!$A254</f>
        <v>0</v>
      </c>
      <c r="B268" s="16">
        <f>[1]Items!B254</f>
        <v>0</v>
      </c>
      <c r="C268" s="16">
        <f>[1]Items!C254</f>
        <v>0</v>
      </c>
      <c r="D268" s="16">
        <f>[1]Items!D254</f>
        <v>0</v>
      </c>
      <c r="E268" s="16">
        <f>[1]Items!E254</f>
        <v>0</v>
      </c>
      <c r="F268" s="16">
        <f>[1]Items!F254</f>
        <v>0</v>
      </c>
      <c r="G268" s="16">
        <f>[1]Items!G254</f>
        <v>0</v>
      </c>
      <c r="H268" s="16">
        <f>[1]Items!H254</f>
        <v>0</v>
      </c>
      <c r="I268" s="16">
        <f>[1]Items!I254</f>
        <v>0</v>
      </c>
      <c r="J268" s="16">
        <f>[1]Items!J254</f>
        <v>0</v>
      </c>
      <c r="K268" s="16">
        <f>[1]Items!K254</f>
        <v>0</v>
      </c>
      <c r="L268" s="16">
        <f>[1]Items!L254</f>
        <v>0</v>
      </c>
      <c r="M268" s="16">
        <f>[1]Items!M254</f>
        <v>0</v>
      </c>
      <c r="N268" s="16">
        <f>[1]Items!N254</f>
        <v>0</v>
      </c>
      <c r="O268" s="16">
        <f>[1]Items!O254</f>
        <v>0</v>
      </c>
      <c r="P268" s="16">
        <f>[1]Items!P254</f>
        <v>0</v>
      </c>
      <c r="Q268" s="16">
        <f>[1]Items!Q254</f>
        <v>0</v>
      </c>
      <c r="R268" s="16">
        <f>[1]Items!R254</f>
        <v>0</v>
      </c>
      <c r="S268" s="16">
        <f>[1]Items!S254</f>
        <v>0</v>
      </c>
      <c r="W268">
        <f>IF('Dota 2'!$C$6, (Items!C268+Items!E268)*Items!$X$2, (Items!C268+Items!D268)*Items!$X$2)</f>
        <v>0</v>
      </c>
      <c r="X268">
        <f t="shared" si="18"/>
        <v>0</v>
      </c>
      <c r="Y268">
        <f t="shared" si="19"/>
        <v>0</v>
      </c>
      <c r="Z268">
        <f t="shared" si="20"/>
        <v>0</v>
      </c>
      <c r="AA268">
        <f t="shared" si="21"/>
        <v>0</v>
      </c>
      <c r="AB268">
        <f>('Dota 2'!$H$10/$Z$4) * (1-($Y$9*($AA$2+J268))/($Y$7+$Y$9*ABS($AA$2+J268)) - $Z$4)</f>
        <v>0</v>
      </c>
      <c r="AC268">
        <f>IF('Dota 2'!$C$6, K268*M268*(1-$Z$3)*'Dota 2'!$H$8, K268*L268*(1-$Z$3)*'Dota 2'!$H$8)</f>
        <v>0</v>
      </c>
      <c r="AD268">
        <f>N268*O268*'Dota 2'!$H$10</f>
        <v>0</v>
      </c>
      <c r="AE268" s="2">
        <f t="shared" si="22"/>
        <v>0</v>
      </c>
      <c r="AF268" s="17">
        <f t="shared" si="23"/>
        <v>0</v>
      </c>
    </row>
    <row r="269" spans="1:32" x14ac:dyDescent="0.25">
      <c r="A269" s="6">
        <f>[1]Items!$A255</f>
        <v>0</v>
      </c>
      <c r="B269" s="16">
        <f>[1]Items!B255</f>
        <v>0</v>
      </c>
      <c r="C269" s="16">
        <f>[1]Items!C255</f>
        <v>0</v>
      </c>
      <c r="D269" s="16">
        <f>[1]Items!D255</f>
        <v>0</v>
      </c>
      <c r="E269" s="16">
        <f>[1]Items!E255</f>
        <v>0</v>
      </c>
      <c r="F269" s="16">
        <f>[1]Items!F255</f>
        <v>0</v>
      </c>
      <c r="G269" s="16">
        <f>[1]Items!G255</f>
        <v>0</v>
      </c>
      <c r="H269" s="16">
        <f>[1]Items!H255</f>
        <v>0</v>
      </c>
      <c r="I269" s="16">
        <f>[1]Items!I255</f>
        <v>0</v>
      </c>
      <c r="J269" s="16">
        <f>[1]Items!J255</f>
        <v>0</v>
      </c>
      <c r="K269" s="16">
        <f>[1]Items!K255</f>
        <v>0</v>
      </c>
      <c r="L269" s="16">
        <f>[1]Items!L255</f>
        <v>0</v>
      </c>
      <c r="M269" s="16">
        <f>[1]Items!M255</f>
        <v>0</v>
      </c>
      <c r="N269" s="16">
        <f>[1]Items!N255</f>
        <v>0</v>
      </c>
      <c r="O269" s="16">
        <f>[1]Items!O255</f>
        <v>0</v>
      </c>
      <c r="P269" s="16">
        <f>[1]Items!P255</f>
        <v>0</v>
      </c>
      <c r="Q269" s="16">
        <f>[1]Items!Q255</f>
        <v>0</v>
      </c>
      <c r="R269" s="16">
        <f>[1]Items!R255</f>
        <v>0</v>
      </c>
      <c r="S269" s="16">
        <f>[1]Items!S255</f>
        <v>0</v>
      </c>
      <c r="W269">
        <f>IF('Dota 2'!$C$6, (Items!C269+Items!E269)*Items!$X$2, (Items!C269+Items!D269)*Items!$X$2)</f>
        <v>0</v>
      </c>
      <c r="X269">
        <f t="shared" si="18"/>
        <v>0</v>
      </c>
      <c r="Y269">
        <f t="shared" si="19"/>
        <v>0</v>
      </c>
      <c r="Z269">
        <f t="shared" si="20"/>
        <v>0</v>
      </c>
      <c r="AA269">
        <f t="shared" si="21"/>
        <v>0</v>
      </c>
      <c r="AB269">
        <f>('Dota 2'!$H$10/$Z$4) * (1-($Y$9*($AA$2+J269))/($Y$7+$Y$9*ABS($AA$2+J269)) - $Z$4)</f>
        <v>0</v>
      </c>
      <c r="AC269">
        <f>IF('Dota 2'!$C$6, K269*M269*(1-$Z$3)*'Dota 2'!$H$8, K269*L269*(1-$Z$3)*'Dota 2'!$H$8)</f>
        <v>0</v>
      </c>
      <c r="AD269">
        <f>N269*O269*'Dota 2'!$H$10</f>
        <v>0</v>
      </c>
      <c r="AE269" s="2">
        <f t="shared" si="22"/>
        <v>0</v>
      </c>
      <c r="AF269" s="17">
        <f t="shared" si="23"/>
        <v>0</v>
      </c>
    </row>
    <row r="270" spans="1:32" x14ac:dyDescent="0.25">
      <c r="A270" s="6">
        <f>[1]Items!$A256</f>
        <v>0</v>
      </c>
      <c r="B270" s="16">
        <f>[1]Items!B256</f>
        <v>0</v>
      </c>
      <c r="C270" s="16">
        <f>[1]Items!C256</f>
        <v>0</v>
      </c>
      <c r="D270" s="16">
        <f>[1]Items!D256</f>
        <v>0</v>
      </c>
      <c r="E270" s="16">
        <f>[1]Items!E256</f>
        <v>0</v>
      </c>
      <c r="F270" s="16">
        <f>[1]Items!F256</f>
        <v>0</v>
      </c>
      <c r="G270" s="16">
        <f>[1]Items!G256</f>
        <v>0</v>
      </c>
      <c r="H270" s="16">
        <f>[1]Items!H256</f>
        <v>0</v>
      </c>
      <c r="I270" s="16">
        <f>[1]Items!I256</f>
        <v>0</v>
      </c>
      <c r="J270" s="16">
        <f>[1]Items!J256</f>
        <v>0</v>
      </c>
      <c r="K270" s="16">
        <f>[1]Items!K256</f>
        <v>0</v>
      </c>
      <c r="L270" s="16">
        <f>[1]Items!L256</f>
        <v>0</v>
      </c>
      <c r="M270" s="16">
        <f>[1]Items!M256</f>
        <v>0</v>
      </c>
      <c r="N270" s="16">
        <f>[1]Items!N256</f>
        <v>0</v>
      </c>
      <c r="O270" s="16">
        <f>[1]Items!O256</f>
        <v>0</v>
      </c>
      <c r="P270" s="16">
        <f>[1]Items!P256</f>
        <v>0</v>
      </c>
      <c r="Q270" s="16">
        <f>[1]Items!Q256</f>
        <v>0</v>
      </c>
      <c r="R270" s="16">
        <f>[1]Items!R256</f>
        <v>0</v>
      </c>
      <c r="S270" s="16">
        <f>[1]Items!S256</f>
        <v>0</v>
      </c>
      <c r="W270">
        <f>IF('Dota 2'!$C$6, (Items!C270+Items!E270)*Items!$X$2, (Items!C270+Items!D270)*Items!$X$2)</f>
        <v>0</v>
      </c>
      <c r="X270">
        <f t="shared" si="18"/>
        <v>0</v>
      </c>
      <c r="Y270">
        <f t="shared" si="19"/>
        <v>0</v>
      </c>
      <c r="Z270">
        <f t="shared" si="20"/>
        <v>0</v>
      </c>
      <c r="AA270">
        <f t="shared" si="21"/>
        <v>0</v>
      </c>
      <c r="AB270">
        <f>('Dota 2'!$H$10/$Z$4) * (1-($Y$9*($AA$2+J270))/($Y$7+$Y$9*ABS($AA$2+J270)) - $Z$4)</f>
        <v>0</v>
      </c>
      <c r="AC270">
        <f>IF('Dota 2'!$C$6, K270*M270*(1-$Z$3)*'Dota 2'!$H$8, K270*L270*(1-$Z$3)*'Dota 2'!$H$8)</f>
        <v>0</v>
      </c>
      <c r="AD270">
        <f>N270*O270*'Dota 2'!$H$10</f>
        <v>0</v>
      </c>
      <c r="AE270" s="2">
        <f t="shared" si="22"/>
        <v>0</v>
      </c>
      <c r="AF270" s="17">
        <f t="shared" si="23"/>
        <v>0</v>
      </c>
    </row>
    <row r="271" spans="1:32" x14ac:dyDescent="0.25">
      <c r="A271" s="6">
        <f>[1]Items!$A257</f>
        <v>0</v>
      </c>
      <c r="B271" s="16">
        <f>[1]Items!B257</f>
        <v>0</v>
      </c>
      <c r="C271" s="16">
        <f>[1]Items!C257</f>
        <v>0</v>
      </c>
      <c r="D271" s="16">
        <f>[1]Items!D257</f>
        <v>0</v>
      </c>
      <c r="E271" s="16">
        <f>[1]Items!E257</f>
        <v>0</v>
      </c>
      <c r="F271" s="16">
        <f>[1]Items!F257</f>
        <v>0</v>
      </c>
      <c r="G271" s="16">
        <f>[1]Items!G257</f>
        <v>0</v>
      </c>
      <c r="H271" s="16">
        <f>[1]Items!H257</f>
        <v>0</v>
      </c>
      <c r="I271" s="16">
        <f>[1]Items!I257</f>
        <v>0</v>
      </c>
      <c r="J271" s="16">
        <f>[1]Items!J257</f>
        <v>0</v>
      </c>
      <c r="K271" s="16">
        <f>[1]Items!K257</f>
        <v>0</v>
      </c>
      <c r="L271" s="16">
        <f>[1]Items!L257</f>
        <v>0</v>
      </c>
      <c r="M271" s="16">
        <f>[1]Items!M257</f>
        <v>0</v>
      </c>
      <c r="N271" s="16">
        <f>[1]Items!N257</f>
        <v>0</v>
      </c>
      <c r="O271" s="16">
        <f>[1]Items!O257</f>
        <v>0</v>
      </c>
      <c r="P271" s="16">
        <f>[1]Items!P257</f>
        <v>0</v>
      </c>
      <c r="Q271" s="16">
        <f>[1]Items!Q257</f>
        <v>0</v>
      </c>
      <c r="R271" s="16">
        <f>[1]Items!R257</f>
        <v>0</v>
      </c>
      <c r="S271" s="16">
        <f>[1]Items!S257</f>
        <v>0</v>
      </c>
      <c r="W271">
        <f>IF('Dota 2'!$C$6, (Items!C271+Items!E271)*Items!$X$2, (Items!C271+Items!D271)*Items!$X$2)</f>
        <v>0</v>
      </c>
      <c r="X271">
        <f t="shared" ref="X271:X333" si="24">F271*$X$3</f>
        <v>0</v>
      </c>
      <c r="Y271">
        <f t="shared" si="19"/>
        <v>0</v>
      </c>
      <c r="Z271">
        <f t="shared" si="20"/>
        <v>0</v>
      </c>
      <c r="AA271">
        <f t="shared" si="21"/>
        <v>0</v>
      </c>
      <c r="AB271">
        <f>('Dota 2'!$H$10/$Z$4) * (1-($Y$9*($AA$2+J271))/($Y$7+$Y$9*ABS($AA$2+J271)) - $Z$4)</f>
        <v>0</v>
      </c>
      <c r="AC271">
        <f>IF('Dota 2'!$C$6, K271*M271*(1-$Z$3)*'Dota 2'!$H$8, K271*L271*(1-$Z$3)*'Dota 2'!$H$8)</f>
        <v>0</v>
      </c>
      <c r="AD271">
        <f>N271*O271*'Dota 2'!$H$10</f>
        <v>0</v>
      </c>
      <c r="AE271" s="2">
        <f t="shared" si="22"/>
        <v>0</v>
      </c>
      <c r="AF271" s="17">
        <f t="shared" si="23"/>
        <v>0</v>
      </c>
    </row>
    <row r="272" spans="1:32" x14ac:dyDescent="0.25">
      <c r="A272" s="6">
        <f>[1]Items!$A258</f>
        <v>0</v>
      </c>
      <c r="B272" s="16">
        <f>[1]Items!B258</f>
        <v>0</v>
      </c>
      <c r="C272" s="16">
        <f>[1]Items!C258</f>
        <v>0</v>
      </c>
      <c r="D272" s="16">
        <f>[1]Items!D258</f>
        <v>0</v>
      </c>
      <c r="E272" s="16">
        <f>[1]Items!E258</f>
        <v>0</v>
      </c>
      <c r="F272" s="16">
        <f>[1]Items!F258</f>
        <v>0</v>
      </c>
      <c r="G272" s="16">
        <f>[1]Items!G258</f>
        <v>0</v>
      </c>
      <c r="H272" s="16">
        <f>[1]Items!H258</f>
        <v>0</v>
      </c>
      <c r="I272" s="16">
        <f>[1]Items!I258</f>
        <v>0</v>
      </c>
      <c r="J272" s="16">
        <f>[1]Items!J258</f>
        <v>0</v>
      </c>
      <c r="K272" s="16">
        <f>[1]Items!K258</f>
        <v>0</v>
      </c>
      <c r="L272" s="16">
        <f>[1]Items!L258</f>
        <v>0</v>
      </c>
      <c r="M272" s="16">
        <f>[1]Items!M258</f>
        <v>0</v>
      </c>
      <c r="N272" s="16">
        <f>[1]Items!N258</f>
        <v>0</v>
      </c>
      <c r="O272" s="16">
        <f>[1]Items!O258</f>
        <v>0</v>
      </c>
      <c r="P272" s="16">
        <f>[1]Items!P258</f>
        <v>0</v>
      </c>
      <c r="Q272" s="16">
        <f>[1]Items!Q258</f>
        <v>0</v>
      </c>
      <c r="R272" s="16">
        <f>[1]Items!R258</f>
        <v>0</v>
      </c>
      <c r="S272" s="16">
        <f>[1]Items!S258</f>
        <v>0</v>
      </c>
      <c r="W272">
        <f>IF('Dota 2'!$C$6, (Items!C272+Items!E272)*Items!$X$2, (Items!C272+Items!D272)*Items!$X$2)</f>
        <v>0</v>
      </c>
      <c r="X272">
        <f t="shared" si="24"/>
        <v>0</v>
      </c>
      <c r="Y272">
        <f t="shared" ref="Y272:Y333" si="25">G272*$X$4</f>
        <v>0</v>
      </c>
      <c r="Z272">
        <f t="shared" ref="Z272:Z333" si="26">H272*$X$5</f>
        <v>0</v>
      </c>
      <c r="AA272">
        <f t="shared" ref="AA272:AA333" si="27">I272*$X$6</f>
        <v>0</v>
      </c>
      <c r="AB272">
        <f>('Dota 2'!$H$10/$Z$4) * (1-($Y$9*($AA$2+J272))/($Y$7+$Y$9*ABS($AA$2+J272)) - $Z$4)</f>
        <v>0</v>
      </c>
      <c r="AC272">
        <f>IF('Dota 2'!$C$6, K272*M272*(1-$Z$3)*'Dota 2'!$H$8, K272*L272*(1-$Z$3)*'Dota 2'!$H$8)</f>
        <v>0</v>
      </c>
      <c r="AD272">
        <f>N272*O272*'Dota 2'!$H$10</f>
        <v>0</v>
      </c>
      <c r="AE272" s="2">
        <f t="shared" ref="AE272:AE333" si="28">SUM(W272:AD272)</f>
        <v>0</v>
      </c>
      <c r="AF272" s="17">
        <f t="shared" ref="AF272:AF333" si="29">IFERROR(AE272/B272, 0)</f>
        <v>0</v>
      </c>
    </row>
    <row r="273" spans="1:32" x14ac:dyDescent="0.25">
      <c r="A273" s="6">
        <f>[1]Items!$A259</f>
        <v>0</v>
      </c>
      <c r="B273" s="16">
        <f>[1]Items!B259</f>
        <v>0</v>
      </c>
      <c r="C273" s="16">
        <f>[1]Items!C259</f>
        <v>0</v>
      </c>
      <c r="D273" s="16">
        <f>[1]Items!D259</f>
        <v>0</v>
      </c>
      <c r="E273" s="16">
        <f>[1]Items!E259</f>
        <v>0</v>
      </c>
      <c r="F273" s="16">
        <f>[1]Items!F259</f>
        <v>0</v>
      </c>
      <c r="G273" s="16">
        <f>[1]Items!G259</f>
        <v>0</v>
      </c>
      <c r="H273" s="16">
        <f>[1]Items!H259</f>
        <v>0</v>
      </c>
      <c r="I273" s="16">
        <f>[1]Items!I259</f>
        <v>0</v>
      </c>
      <c r="J273" s="16">
        <f>[1]Items!J259</f>
        <v>0</v>
      </c>
      <c r="K273" s="16">
        <f>[1]Items!K259</f>
        <v>0</v>
      </c>
      <c r="L273" s="16">
        <f>[1]Items!L259</f>
        <v>0</v>
      </c>
      <c r="M273" s="16">
        <f>[1]Items!M259</f>
        <v>0</v>
      </c>
      <c r="N273" s="16">
        <f>[1]Items!N259</f>
        <v>0</v>
      </c>
      <c r="O273" s="16">
        <f>[1]Items!O259</f>
        <v>0</v>
      </c>
      <c r="P273" s="16">
        <f>[1]Items!P259</f>
        <v>0</v>
      </c>
      <c r="Q273" s="16">
        <f>[1]Items!Q259</f>
        <v>0</v>
      </c>
      <c r="R273" s="16">
        <f>[1]Items!R259</f>
        <v>0</v>
      </c>
      <c r="S273" s="16">
        <f>[1]Items!S259</f>
        <v>0</v>
      </c>
      <c r="W273">
        <f>IF('Dota 2'!$C$6, (Items!C273+Items!E273)*Items!$X$2, (Items!C273+Items!D273)*Items!$X$2)</f>
        <v>0</v>
      </c>
      <c r="X273">
        <f t="shared" si="24"/>
        <v>0</v>
      </c>
      <c r="Y273">
        <f t="shared" si="25"/>
        <v>0</v>
      </c>
      <c r="Z273">
        <f t="shared" si="26"/>
        <v>0</v>
      </c>
      <c r="AA273">
        <f t="shared" si="27"/>
        <v>0</v>
      </c>
      <c r="AB273">
        <f>('Dota 2'!$H$10/$Z$4) * (1-($Y$9*($AA$2+J273))/($Y$7+$Y$9*ABS($AA$2+J273)) - $Z$4)</f>
        <v>0</v>
      </c>
      <c r="AC273">
        <f>IF('Dota 2'!$C$6, K273*M273*(1-$Z$3)*'Dota 2'!$H$8, K273*L273*(1-$Z$3)*'Dota 2'!$H$8)</f>
        <v>0</v>
      </c>
      <c r="AD273">
        <f>N273*O273*'Dota 2'!$H$10</f>
        <v>0</v>
      </c>
      <c r="AE273" s="2">
        <f t="shared" si="28"/>
        <v>0</v>
      </c>
      <c r="AF273" s="17">
        <f t="shared" si="29"/>
        <v>0</v>
      </c>
    </row>
    <row r="274" spans="1:32" x14ac:dyDescent="0.25">
      <c r="A274" s="6">
        <f>[1]Items!$A260</f>
        <v>0</v>
      </c>
      <c r="B274" s="16">
        <f>[1]Items!B260</f>
        <v>0</v>
      </c>
      <c r="C274" s="16">
        <f>[1]Items!C260</f>
        <v>0</v>
      </c>
      <c r="D274" s="16">
        <f>[1]Items!D260</f>
        <v>0</v>
      </c>
      <c r="E274" s="16">
        <f>[1]Items!E260</f>
        <v>0</v>
      </c>
      <c r="F274" s="16">
        <f>[1]Items!F260</f>
        <v>0</v>
      </c>
      <c r="G274" s="16">
        <f>[1]Items!G260</f>
        <v>0</v>
      </c>
      <c r="H274" s="16">
        <f>[1]Items!H260</f>
        <v>0</v>
      </c>
      <c r="I274" s="16">
        <f>[1]Items!I260</f>
        <v>0</v>
      </c>
      <c r="J274" s="16">
        <f>[1]Items!J260</f>
        <v>0</v>
      </c>
      <c r="K274" s="16">
        <f>[1]Items!K260</f>
        <v>0</v>
      </c>
      <c r="L274" s="16">
        <f>[1]Items!L260</f>
        <v>0</v>
      </c>
      <c r="M274" s="16">
        <f>[1]Items!M260</f>
        <v>0</v>
      </c>
      <c r="N274" s="16">
        <f>[1]Items!N260</f>
        <v>0</v>
      </c>
      <c r="O274" s="16">
        <f>[1]Items!O260</f>
        <v>0</v>
      </c>
      <c r="P274" s="16">
        <f>[1]Items!P260</f>
        <v>0</v>
      </c>
      <c r="Q274" s="16">
        <f>[1]Items!Q260</f>
        <v>0</v>
      </c>
      <c r="R274" s="16">
        <f>[1]Items!R260</f>
        <v>0</v>
      </c>
      <c r="S274" s="16">
        <f>[1]Items!S260</f>
        <v>0</v>
      </c>
      <c r="W274">
        <f>IF('Dota 2'!$C$6, (Items!C274+Items!E274)*Items!$X$2, (Items!C274+Items!D274)*Items!$X$2)</f>
        <v>0</v>
      </c>
      <c r="X274">
        <f t="shared" si="24"/>
        <v>0</v>
      </c>
      <c r="Y274">
        <f t="shared" si="25"/>
        <v>0</v>
      </c>
      <c r="Z274">
        <f t="shared" si="26"/>
        <v>0</v>
      </c>
      <c r="AA274">
        <f t="shared" si="27"/>
        <v>0</v>
      </c>
      <c r="AB274">
        <f>('Dota 2'!$H$10/$Z$4) * (1-($Y$9*($AA$2+J274))/($Y$7+$Y$9*ABS($AA$2+J274)) - $Z$4)</f>
        <v>0</v>
      </c>
      <c r="AC274">
        <f>IF('Dota 2'!$C$6, K274*M274*(1-$Z$3)*'Dota 2'!$H$8, K274*L274*(1-$Z$3)*'Dota 2'!$H$8)</f>
        <v>0</v>
      </c>
      <c r="AD274">
        <f>N274*O274*'Dota 2'!$H$10</f>
        <v>0</v>
      </c>
      <c r="AE274" s="2">
        <f t="shared" si="28"/>
        <v>0</v>
      </c>
      <c r="AF274" s="17">
        <f t="shared" si="29"/>
        <v>0</v>
      </c>
    </row>
    <row r="275" spans="1:32" x14ac:dyDescent="0.25">
      <c r="A275" s="6">
        <f>[1]Items!$A261</f>
        <v>0</v>
      </c>
      <c r="B275" s="16">
        <f>[1]Items!B261</f>
        <v>0</v>
      </c>
      <c r="C275" s="16">
        <f>[1]Items!C261</f>
        <v>0</v>
      </c>
      <c r="D275" s="16">
        <f>[1]Items!D261</f>
        <v>0</v>
      </c>
      <c r="E275" s="16">
        <f>[1]Items!E261</f>
        <v>0</v>
      </c>
      <c r="F275" s="16">
        <f>[1]Items!F261</f>
        <v>0</v>
      </c>
      <c r="G275" s="16">
        <f>[1]Items!G261</f>
        <v>0</v>
      </c>
      <c r="H275" s="16">
        <f>[1]Items!H261</f>
        <v>0</v>
      </c>
      <c r="I275" s="16">
        <f>[1]Items!I261</f>
        <v>0</v>
      </c>
      <c r="J275" s="16">
        <f>[1]Items!J261</f>
        <v>0</v>
      </c>
      <c r="K275" s="16">
        <f>[1]Items!K261</f>
        <v>0</v>
      </c>
      <c r="L275" s="16">
        <f>[1]Items!L261</f>
        <v>0</v>
      </c>
      <c r="M275" s="16">
        <f>[1]Items!M261</f>
        <v>0</v>
      </c>
      <c r="N275" s="16">
        <f>[1]Items!N261</f>
        <v>0</v>
      </c>
      <c r="O275" s="16">
        <f>[1]Items!O261</f>
        <v>0</v>
      </c>
      <c r="P275" s="16">
        <f>[1]Items!P261</f>
        <v>0</v>
      </c>
      <c r="Q275" s="16">
        <f>[1]Items!Q261</f>
        <v>0</v>
      </c>
      <c r="R275" s="16">
        <f>[1]Items!R261</f>
        <v>0</v>
      </c>
      <c r="S275" s="16">
        <f>[1]Items!S261</f>
        <v>0</v>
      </c>
      <c r="W275">
        <f>IF('Dota 2'!$C$6, (Items!C275+Items!E275)*Items!$X$2, (Items!C275+Items!D275)*Items!$X$2)</f>
        <v>0</v>
      </c>
      <c r="X275">
        <f t="shared" si="24"/>
        <v>0</v>
      </c>
      <c r="Y275">
        <f t="shared" si="25"/>
        <v>0</v>
      </c>
      <c r="Z275">
        <f t="shared" si="26"/>
        <v>0</v>
      </c>
      <c r="AA275">
        <f t="shared" si="27"/>
        <v>0</v>
      </c>
      <c r="AB275">
        <f>('Dota 2'!$H$10/$Z$4) * (1-($Y$9*($AA$2+J275))/($Y$7+$Y$9*ABS($AA$2+J275)) - $Z$4)</f>
        <v>0</v>
      </c>
      <c r="AC275">
        <f>IF('Dota 2'!$C$6, K275*M275*(1-$Z$3)*'Dota 2'!$H$8, K275*L275*(1-$Z$3)*'Dota 2'!$H$8)</f>
        <v>0</v>
      </c>
      <c r="AD275">
        <f>N275*O275*'Dota 2'!$H$10</f>
        <v>0</v>
      </c>
      <c r="AE275" s="2">
        <f t="shared" si="28"/>
        <v>0</v>
      </c>
      <c r="AF275" s="17">
        <f t="shared" si="29"/>
        <v>0</v>
      </c>
    </row>
    <row r="276" spans="1:32" x14ac:dyDescent="0.25">
      <c r="A276" s="6">
        <f>[1]Items!$A262</f>
        <v>0</v>
      </c>
      <c r="B276" s="16">
        <f>[1]Items!B262</f>
        <v>0</v>
      </c>
      <c r="C276" s="16">
        <f>[1]Items!C262</f>
        <v>0</v>
      </c>
      <c r="D276" s="16">
        <f>[1]Items!D262</f>
        <v>0</v>
      </c>
      <c r="E276" s="16">
        <f>[1]Items!E262</f>
        <v>0</v>
      </c>
      <c r="F276" s="16">
        <f>[1]Items!F262</f>
        <v>0</v>
      </c>
      <c r="G276" s="16">
        <f>[1]Items!G262</f>
        <v>0</v>
      </c>
      <c r="H276" s="16">
        <f>[1]Items!H262</f>
        <v>0</v>
      </c>
      <c r="I276" s="16">
        <f>[1]Items!I262</f>
        <v>0</v>
      </c>
      <c r="J276" s="16">
        <f>[1]Items!J262</f>
        <v>0</v>
      </c>
      <c r="K276" s="16">
        <f>[1]Items!K262</f>
        <v>0</v>
      </c>
      <c r="L276" s="16">
        <f>[1]Items!L262</f>
        <v>0</v>
      </c>
      <c r="M276" s="16">
        <f>[1]Items!M262</f>
        <v>0</v>
      </c>
      <c r="N276" s="16">
        <f>[1]Items!N262</f>
        <v>0</v>
      </c>
      <c r="O276" s="16">
        <f>[1]Items!O262</f>
        <v>0</v>
      </c>
      <c r="P276" s="16">
        <f>[1]Items!P262</f>
        <v>0</v>
      </c>
      <c r="Q276" s="16">
        <f>[1]Items!Q262</f>
        <v>0</v>
      </c>
      <c r="R276" s="16">
        <f>[1]Items!R262</f>
        <v>0</v>
      </c>
      <c r="S276" s="16">
        <f>[1]Items!S262</f>
        <v>0</v>
      </c>
      <c r="W276">
        <f>IF('Dota 2'!$C$6, (Items!C276+Items!E276)*Items!$X$2, (Items!C276+Items!D276)*Items!$X$2)</f>
        <v>0</v>
      </c>
      <c r="X276">
        <f t="shared" si="24"/>
        <v>0</v>
      </c>
      <c r="Y276">
        <f t="shared" si="25"/>
        <v>0</v>
      </c>
      <c r="Z276">
        <f t="shared" si="26"/>
        <v>0</v>
      </c>
      <c r="AA276">
        <f t="shared" si="27"/>
        <v>0</v>
      </c>
      <c r="AB276">
        <f>('Dota 2'!$H$10/$Z$4) * (1-($Y$9*($AA$2+J276))/($Y$7+$Y$9*ABS($AA$2+J276)) - $Z$4)</f>
        <v>0</v>
      </c>
      <c r="AC276">
        <f>IF('Dota 2'!$C$6, K276*M276*(1-$Z$3)*'Dota 2'!$H$8, K276*L276*(1-$Z$3)*'Dota 2'!$H$8)</f>
        <v>0</v>
      </c>
      <c r="AD276">
        <f>N276*O276*'Dota 2'!$H$10</f>
        <v>0</v>
      </c>
      <c r="AE276" s="2">
        <f t="shared" si="28"/>
        <v>0</v>
      </c>
      <c r="AF276" s="17">
        <f t="shared" si="29"/>
        <v>0</v>
      </c>
    </row>
    <row r="277" spans="1:32" x14ac:dyDescent="0.25">
      <c r="A277" s="6">
        <f>[1]Items!$A263</f>
        <v>0</v>
      </c>
      <c r="B277" s="16">
        <f>[1]Items!B263</f>
        <v>0</v>
      </c>
      <c r="C277" s="16">
        <f>[1]Items!C263</f>
        <v>0</v>
      </c>
      <c r="D277" s="16">
        <f>[1]Items!D263</f>
        <v>0</v>
      </c>
      <c r="E277" s="16">
        <f>[1]Items!E263</f>
        <v>0</v>
      </c>
      <c r="F277" s="16">
        <f>[1]Items!F263</f>
        <v>0</v>
      </c>
      <c r="G277" s="16">
        <f>[1]Items!G263</f>
        <v>0</v>
      </c>
      <c r="H277" s="16">
        <f>[1]Items!H263</f>
        <v>0</v>
      </c>
      <c r="I277" s="16">
        <f>[1]Items!I263</f>
        <v>0</v>
      </c>
      <c r="J277" s="16">
        <f>[1]Items!J263</f>
        <v>0</v>
      </c>
      <c r="K277" s="16">
        <f>[1]Items!K263</f>
        <v>0</v>
      </c>
      <c r="L277" s="16">
        <f>[1]Items!L263</f>
        <v>0</v>
      </c>
      <c r="M277" s="16">
        <f>[1]Items!M263</f>
        <v>0</v>
      </c>
      <c r="N277" s="16">
        <f>[1]Items!N263</f>
        <v>0</v>
      </c>
      <c r="O277" s="16">
        <f>[1]Items!O263</f>
        <v>0</v>
      </c>
      <c r="P277" s="16">
        <f>[1]Items!P263</f>
        <v>0</v>
      </c>
      <c r="Q277" s="16">
        <f>[1]Items!Q263</f>
        <v>0</v>
      </c>
      <c r="R277" s="16">
        <f>[1]Items!R263</f>
        <v>0</v>
      </c>
      <c r="S277" s="16">
        <f>[1]Items!S263</f>
        <v>0</v>
      </c>
      <c r="W277">
        <f>IF('Dota 2'!$C$6, (Items!C277+Items!E277)*Items!$X$2, (Items!C277+Items!D277)*Items!$X$2)</f>
        <v>0</v>
      </c>
      <c r="X277">
        <f t="shared" si="24"/>
        <v>0</v>
      </c>
      <c r="Y277">
        <f t="shared" si="25"/>
        <v>0</v>
      </c>
      <c r="Z277">
        <f t="shared" si="26"/>
        <v>0</v>
      </c>
      <c r="AA277">
        <f t="shared" si="27"/>
        <v>0</v>
      </c>
      <c r="AB277">
        <f>('Dota 2'!$H$10/$Z$4) * (1-($Y$9*($AA$2+J277))/($Y$7+$Y$9*ABS($AA$2+J277)) - $Z$4)</f>
        <v>0</v>
      </c>
      <c r="AC277">
        <f>IF('Dota 2'!$C$6, K277*M277*(1-$Z$3)*'Dota 2'!$H$8, K277*L277*(1-$Z$3)*'Dota 2'!$H$8)</f>
        <v>0</v>
      </c>
      <c r="AD277">
        <f>N277*O277*'Dota 2'!$H$10</f>
        <v>0</v>
      </c>
      <c r="AE277" s="2">
        <f t="shared" si="28"/>
        <v>0</v>
      </c>
      <c r="AF277" s="17">
        <f t="shared" si="29"/>
        <v>0</v>
      </c>
    </row>
    <row r="278" spans="1:32" x14ac:dyDescent="0.25">
      <c r="A278" s="6">
        <f>[1]Items!$A264</f>
        <v>0</v>
      </c>
      <c r="B278" s="16">
        <f>[1]Items!B264</f>
        <v>0</v>
      </c>
      <c r="C278" s="16">
        <f>[1]Items!C264</f>
        <v>0</v>
      </c>
      <c r="D278" s="16">
        <f>[1]Items!D264</f>
        <v>0</v>
      </c>
      <c r="E278" s="16">
        <f>[1]Items!E264</f>
        <v>0</v>
      </c>
      <c r="F278" s="16">
        <f>[1]Items!F264</f>
        <v>0</v>
      </c>
      <c r="G278" s="16">
        <f>[1]Items!G264</f>
        <v>0</v>
      </c>
      <c r="H278" s="16">
        <f>[1]Items!H264</f>
        <v>0</v>
      </c>
      <c r="I278" s="16">
        <f>[1]Items!I264</f>
        <v>0</v>
      </c>
      <c r="J278" s="16">
        <f>[1]Items!J264</f>
        <v>0</v>
      </c>
      <c r="K278" s="16">
        <f>[1]Items!K264</f>
        <v>0</v>
      </c>
      <c r="L278" s="16">
        <f>[1]Items!L264</f>
        <v>0</v>
      </c>
      <c r="M278" s="16">
        <f>[1]Items!M264</f>
        <v>0</v>
      </c>
      <c r="N278" s="16">
        <f>[1]Items!N264</f>
        <v>0</v>
      </c>
      <c r="O278" s="16">
        <f>[1]Items!O264</f>
        <v>0</v>
      </c>
      <c r="P278" s="16">
        <f>[1]Items!P264</f>
        <v>0</v>
      </c>
      <c r="Q278" s="16">
        <f>[1]Items!Q264</f>
        <v>0</v>
      </c>
      <c r="R278" s="16">
        <f>[1]Items!R264</f>
        <v>0</v>
      </c>
      <c r="S278" s="16">
        <f>[1]Items!S264</f>
        <v>0</v>
      </c>
      <c r="W278">
        <f>IF('Dota 2'!$C$6, (Items!C278+Items!E278)*Items!$X$2, (Items!C278+Items!D278)*Items!$X$2)</f>
        <v>0</v>
      </c>
      <c r="X278">
        <f t="shared" si="24"/>
        <v>0</v>
      </c>
      <c r="Y278">
        <f t="shared" si="25"/>
        <v>0</v>
      </c>
      <c r="Z278">
        <f t="shared" si="26"/>
        <v>0</v>
      </c>
      <c r="AA278">
        <f t="shared" si="27"/>
        <v>0</v>
      </c>
      <c r="AB278">
        <f>('Dota 2'!$H$10/$Z$4) * (1-($Y$9*($AA$2+J278))/($Y$7+$Y$9*ABS($AA$2+J278)) - $Z$4)</f>
        <v>0</v>
      </c>
      <c r="AC278">
        <f>IF('Dota 2'!$C$6, K278*M278*(1-$Z$3)*'Dota 2'!$H$8, K278*L278*(1-$Z$3)*'Dota 2'!$H$8)</f>
        <v>0</v>
      </c>
      <c r="AD278">
        <f>N278*O278*'Dota 2'!$H$10</f>
        <v>0</v>
      </c>
      <c r="AE278" s="2">
        <f t="shared" si="28"/>
        <v>0</v>
      </c>
      <c r="AF278" s="17">
        <f t="shared" si="29"/>
        <v>0</v>
      </c>
    </row>
    <row r="279" spans="1:32" x14ac:dyDescent="0.25">
      <c r="A279" s="6">
        <f>[1]Items!$A265</f>
        <v>0</v>
      </c>
      <c r="B279" s="16">
        <f>[1]Items!B265</f>
        <v>0</v>
      </c>
      <c r="C279" s="16">
        <f>[1]Items!C265</f>
        <v>0</v>
      </c>
      <c r="D279" s="16">
        <f>[1]Items!D265</f>
        <v>0</v>
      </c>
      <c r="E279" s="16">
        <f>[1]Items!E265</f>
        <v>0</v>
      </c>
      <c r="F279" s="16">
        <f>[1]Items!F265</f>
        <v>0</v>
      </c>
      <c r="G279" s="16">
        <f>[1]Items!G265</f>
        <v>0</v>
      </c>
      <c r="H279" s="16">
        <f>[1]Items!H265</f>
        <v>0</v>
      </c>
      <c r="I279" s="16">
        <f>[1]Items!I265</f>
        <v>0</v>
      </c>
      <c r="J279" s="16">
        <f>[1]Items!J265</f>
        <v>0</v>
      </c>
      <c r="K279" s="16">
        <f>[1]Items!K265</f>
        <v>0</v>
      </c>
      <c r="L279" s="16">
        <f>[1]Items!L265</f>
        <v>0</v>
      </c>
      <c r="M279" s="16">
        <f>[1]Items!M265</f>
        <v>0</v>
      </c>
      <c r="N279" s="16">
        <f>[1]Items!N265</f>
        <v>0</v>
      </c>
      <c r="O279" s="16">
        <f>[1]Items!O265</f>
        <v>0</v>
      </c>
      <c r="P279" s="16">
        <f>[1]Items!P265</f>
        <v>0</v>
      </c>
      <c r="Q279" s="16">
        <f>[1]Items!Q265</f>
        <v>0</v>
      </c>
      <c r="R279" s="16">
        <f>[1]Items!R265</f>
        <v>0</v>
      </c>
      <c r="S279" s="16">
        <f>[1]Items!S265</f>
        <v>0</v>
      </c>
      <c r="W279">
        <f>IF('Dota 2'!$C$6, (Items!C279+Items!E279)*Items!$X$2, (Items!C279+Items!D279)*Items!$X$2)</f>
        <v>0</v>
      </c>
      <c r="X279">
        <f t="shared" si="24"/>
        <v>0</v>
      </c>
      <c r="Y279">
        <f t="shared" si="25"/>
        <v>0</v>
      </c>
      <c r="Z279">
        <f t="shared" si="26"/>
        <v>0</v>
      </c>
      <c r="AA279">
        <f t="shared" si="27"/>
        <v>0</v>
      </c>
      <c r="AB279">
        <f>('Dota 2'!$H$10/$Z$4) * (1-($Y$9*($AA$2+J279))/($Y$7+$Y$9*ABS($AA$2+J279)) - $Z$4)</f>
        <v>0</v>
      </c>
      <c r="AC279">
        <f>IF('Dota 2'!$C$6, K279*M279*(1-$Z$3)*'Dota 2'!$H$8, K279*L279*(1-$Z$3)*'Dota 2'!$H$8)</f>
        <v>0</v>
      </c>
      <c r="AD279">
        <f>N279*O279*'Dota 2'!$H$10</f>
        <v>0</v>
      </c>
      <c r="AE279" s="2">
        <f t="shared" si="28"/>
        <v>0</v>
      </c>
      <c r="AF279" s="17">
        <f t="shared" si="29"/>
        <v>0</v>
      </c>
    </row>
    <row r="280" spans="1:32" x14ac:dyDescent="0.25">
      <c r="A280" s="6">
        <f>[1]Items!$A266</f>
        <v>0</v>
      </c>
      <c r="B280" s="16">
        <f>[1]Items!B266</f>
        <v>0</v>
      </c>
      <c r="C280" s="16">
        <f>[1]Items!C266</f>
        <v>0</v>
      </c>
      <c r="D280" s="16">
        <f>[1]Items!D266</f>
        <v>0</v>
      </c>
      <c r="E280" s="16">
        <f>[1]Items!E266</f>
        <v>0</v>
      </c>
      <c r="F280" s="16">
        <f>[1]Items!F266</f>
        <v>0</v>
      </c>
      <c r="G280" s="16">
        <f>[1]Items!G266</f>
        <v>0</v>
      </c>
      <c r="H280" s="16">
        <f>[1]Items!H266</f>
        <v>0</v>
      </c>
      <c r="I280" s="16">
        <f>[1]Items!I266</f>
        <v>0</v>
      </c>
      <c r="J280" s="16">
        <f>[1]Items!J266</f>
        <v>0</v>
      </c>
      <c r="K280" s="16">
        <f>[1]Items!K266</f>
        <v>0</v>
      </c>
      <c r="L280" s="16">
        <f>[1]Items!L266</f>
        <v>0</v>
      </c>
      <c r="M280" s="16">
        <f>[1]Items!M266</f>
        <v>0</v>
      </c>
      <c r="N280" s="16">
        <f>[1]Items!N266</f>
        <v>0</v>
      </c>
      <c r="O280" s="16">
        <f>[1]Items!O266</f>
        <v>0</v>
      </c>
      <c r="P280" s="16">
        <f>[1]Items!P266</f>
        <v>0</v>
      </c>
      <c r="Q280" s="16">
        <f>[1]Items!Q266</f>
        <v>0</v>
      </c>
      <c r="R280" s="16">
        <f>[1]Items!R266</f>
        <v>0</v>
      </c>
      <c r="S280" s="16">
        <f>[1]Items!S266</f>
        <v>0</v>
      </c>
      <c r="W280">
        <f>IF('Dota 2'!$C$6, (Items!C280+Items!E280)*Items!$X$2, (Items!C280+Items!D280)*Items!$X$2)</f>
        <v>0</v>
      </c>
      <c r="X280">
        <f t="shared" si="24"/>
        <v>0</v>
      </c>
      <c r="Y280">
        <f t="shared" si="25"/>
        <v>0</v>
      </c>
      <c r="Z280">
        <f t="shared" si="26"/>
        <v>0</v>
      </c>
      <c r="AA280">
        <f t="shared" si="27"/>
        <v>0</v>
      </c>
      <c r="AB280">
        <f>('Dota 2'!$H$10/$Z$4) * (1-($Y$9*($AA$2+J280))/($Y$7+$Y$9*ABS($AA$2+J280)) - $Z$4)</f>
        <v>0</v>
      </c>
      <c r="AC280">
        <f>IF('Dota 2'!$C$6, K280*M280*(1-$Z$3)*'Dota 2'!$H$8, K280*L280*(1-$Z$3)*'Dota 2'!$H$8)</f>
        <v>0</v>
      </c>
      <c r="AD280">
        <f>N280*O280*'Dota 2'!$H$10</f>
        <v>0</v>
      </c>
      <c r="AE280" s="2">
        <f t="shared" si="28"/>
        <v>0</v>
      </c>
      <c r="AF280" s="17">
        <f t="shared" si="29"/>
        <v>0</v>
      </c>
    </row>
    <row r="281" spans="1:32" x14ac:dyDescent="0.25">
      <c r="A281" s="6">
        <f>[1]Items!$A267</f>
        <v>0</v>
      </c>
      <c r="B281" s="16">
        <f>[1]Items!B267</f>
        <v>0</v>
      </c>
      <c r="C281" s="16">
        <f>[1]Items!C267</f>
        <v>0</v>
      </c>
      <c r="D281" s="16">
        <f>[1]Items!D267</f>
        <v>0</v>
      </c>
      <c r="E281" s="16">
        <f>[1]Items!E267</f>
        <v>0</v>
      </c>
      <c r="F281" s="16">
        <f>[1]Items!F267</f>
        <v>0</v>
      </c>
      <c r="G281" s="16">
        <f>[1]Items!G267</f>
        <v>0</v>
      </c>
      <c r="H281" s="16">
        <f>[1]Items!H267</f>
        <v>0</v>
      </c>
      <c r="I281" s="16">
        <f>[1]Items!I267</f>
        <v>0</v>
      </c>
      <c r="J281" s="16">
        <f>[1]Items!J267</f>
        <v>0</v>
      </c>
      <c r="K281" s="16">
        <f>[1]Items!K267</f>
        <v>0</v>
      </c>
      <c r="L281" s="16">
        <f>[1]Items!L267</f>
        <v>0</v>
      </c>
      <c r="M281" s="16">
        <f>[1]Items!M267</f>
        <v>0</v>
      </c>
      <c r="N281" s="16">
        <f>[1]Items!N267</f>
        <v>0</v>
      </c>
      <c r="O281" s="16">
        <f>[1]Items!O267</f>
        <v>0</v>
      </c>
      <c r="P281" s="16">
        <f>[1]Items!P267</f>
        <v>0</v>
      </c>
      <c r="Q281" s="16">
        <f>[1]Items!Q267</f>
        <v>0</v>
      </c>
      <c r="R281" s="16">
        <f>[1]Items!R267</f>
        <v>0</v>
      </c>
      <c r="S281" s="16">
        <f>[1]Items!S267</f>
        <v>0</v>
      </c>
      <c r="W281">
        <f>IF('Dota 2'!$C$6, (Items!C281+Items!E281)*Items!$X$2, (Items!C281+Items!D281)*Items!$X$2)</f>
        <v>0</v>
      </c>
      <c r="X281">
        <f t="shared" si="24"/>
        <v>0</v>
      </c>
      <c r="Y281">
        <f t="shared" si="25"/>
        <v>0</v>
      </c>
      <c r="Z281">
        <f t="shared" si="26"/>
        <v>0</v>
      </c>
      <c r="AA281">
        <f t="shared" si="27"/>
        <v>0</v>
      </c>
      <c r="AB281">
        <f>('Dota 2'!$H$10/$Z$4) * (1-($Y$9*($AA$2+J281))/($Y$7+$Y$9*ABS($AA$2+J281)) - $Z$4)</f>
        <v>0</v>
      </c>
      <c r="AC281">
        <f>IF('Dota 2'!$C$6, K281*M281*(1-$Z$3)*'Dota 2'!$H$8, K281*L281*(1-$Z$3)*'Dota 2'!$H$8)</f>
        <v>0</v>
      </c>
      <c r="AD281">
        <f>N281*O281*'Dota 2'!$H$10</f>
        <v>0</v>
      </c>
      <c r="AE281" s="2">
        <f t="shared" si="28"/>
        <v>0</v>
      </c>
      <c r="AF281" s="17">
        <f t="shared" si="29"/>
        <v>0</v>
      </c>
    </row>
    <row r="282" spans="1:32" x14ac:dyDescent="0.25">
      <c r="A282" s="6">
        <f>[1]Items!$A268</f>
        <v>0</v>
      </c>
      <c r="B282" s="16">
        <f>[1]Items!B268</f>
        <v>0</v>
      </c>
      <c r="C282" s="16">
        <f>[1]Items!C268</f>
        <v>0</v>
      </c>
      <c r="D282" s="16">
        <f>[1]Items!D268</f>
        <v>0</v>
      </c>
      <c r="E282" s="16">
        <f>[1]Items!E268</f>
        <v>0</v>
      </c>
      <c r="F282" s="16">
        <f>[1]Items!F268</f>
        <v>0</v>
      </c>
      <c r="G282" s="16">
        <f>[1]Items!G268</f>
        <v>0</v>
      </c>
      <c r="H282" s="16">
        <f>[1]Items!H268</f>
        <v>0</v>
      </c>
      <c r="I282" s="16">
        <f>[1]Items!I268</f>
        <v>0</v>
      </c>
      <c r="J282" s="16">
        <f>[1]Items!J268</f>
        <v>0</v>
      </c>
      <c r="K282" s="16">
        <f>[1]Items!K268</f>
        <v>0</v>
      </c>
      <c r="L282" s="16">
        <f>[1]Items!L268</f>
        <v>0</v>
      </c>
      <c r="M282" s="16">
        <f>[1]Items!M268</f>
        <v>0</v>
      </c>
      <c r="N282" s="16">
        <f>[1]Items!N268</f>
        <v>0</v>
      </c>
      <c r="O282" s="16">
        <f>[1]Items!O268</f>
        <v>0</v>
      </c>
      <c r="P282" s="16">
        <f>[1]Items!P268</f>
        <v>0</v>
      </c>
      <c r="Q282" s="16">
        <f>[1]Items!Q268</f>
        <v>0</v>
      </c>
      <c r="R282" s="16">
        <f>[1]Items!R268</f>
        <v>0</v>
      </c>
      <c r="S282" s="16">
        <f>[1]Items!S268</f>
        <v>0</v>
      </c>
      <c r="W282">
        <f>IF('Dota 2'!$C$6, (Items!C282+Items!E282)*Items!$X$2, (Items!C282+Items!D282)*Items!$X$2)</f>
        <v>0</v>
      </c>
      <c r="X282">
        <f t="shared" si="24"/>
        <v>0</v>
      </c>
      <c r="Y282">
        <f t="shared" si="25"/>
        <v>0</v>
      </c>
      <c r="Z282">
        <f t="shared" si="26"/>
        <v>0</v>
      </c>
      <c r="AA282">
        <f t="shared" si="27"/>
        <v>0</v>
      </c>
      <c r="AB282">
        <f>('Dota 2'!$H$10/$Z$4) * (1-($Y$9*($AA$2+J282))/($Y$7+$Y$9*ABS($AA$2+J282)) - $Z$4)</f>
        <v>0</v>
      </c>
      <c r="AC282">
        <f>IF('Dota 2'!$C$6, K282*M282*(1-$Z$3)*'Dota 2'!$H$8, K282*L282*(1-$Z$3)*'Dota 2'!$H$8)</f>
        <v>0</v>
      </c>
      <c r="AD282">
        <f>N282*O282*'Dota 2'!$H$10</f>
        <v>0</v>
      </c>
      <c r="AE282" s="2">
        <f t="shared" si="28"/>
        <v>0</v>
      </c>
      <c r="AF282" s="17">
        <f t="shared" si="29"/>
        <v>0</v>
      </c>
    </row>
    <row r="283" spans="1:32" x14ac:dyDescent="0.25">
      <c r="A283" s="6">
        <f>[1]Items!$A269</f>
        <v>0</v>
      </c>
      <c r="B283" s="16">
        <f>[1]Items!B269</f>
        <v>0</v>
      </c>
      <c r="C283" s="16">
        <f>[1]Items!C269</f>
        <v>0</v>
      </c>
      <c r="D283" s="16">
        <f>[1]Items!D269</f>
        <v>0</v>
      </c>
      <c r="E283" s="16">
        <f>[1]Items!E269</f>
        <v>0</v>
      </c>
      <c r="F283" s="16">
        <f>[1]Items!F269</f>
        <v>0</v>
      </c>
      <c r="G283" s="16">
        <f>[1]Items!G269</f>
        <v>0</v>
      </c>
      <c r="H283" s="16">
        <f>[1]Items!H269</f>
        <v>0</v>
      </c>
      <c r="I283" s="16">
        <f>[1]Items!I269</f>
        <v>0</v>
      </c>
      <c r="J283" s="16">
        <f>[1]Items!J269</f>
        <v>0</v>
      </c>
      <c r="K283" s="16">
        <f>[1]Items!K269</f>
        <v>0</v>
      </c>
      <c r="L283" s="16">
        <f>[1]Items!L269</f>
        <v>0</v>
      </c>
      <c r="M283" s="16">
        <f>[1]Items!M269</f>
        <v>0</v>
      </c>
      <c r="N283" s="16">
        <f>[1]Items!N269</f>
        <v>0</v>
      </c>
      <c r="O283" s="16">
        <f>[1]Items!O269</f>
        <v>0</v>
      </c>
      <c r="P283" s="16">
        <f>[1]Items!P269</f>
        <v>0</v>
      </c>
      <c r="Q283" s="16">
        <f>[1]Items!Q269</f>
        <v>0</v>
      </c>
      <c r="R283" s="16">
        <f>[1]Items!R269</f>
        <v>0</v>
      </c>
      <c r="S283" s="16">
        <f>[1]Items!S269</f>
        <v>0</v>
      </c>
      <c r="W283">
        <f>IF('Dota 2'!$C$6, (Items!C283+Items!E283)*Items!$X$2, (Items!C283+Items!D283)*Items!$X$2)</f>
        <v>0</v>
      </c>
      <c r="X283">
        <f t="shared" si="24"/>
        <v>0</v>
      </c>
      <c r="Y283">
        <f t="shared" si="25"/>
        <v>0</v>
      </c>
      <c r="Z283">
        <f t="shared" si="26"/>
        <v>0</v>
      </c>
      <c r="AA283">
        <f t="shared" si="27"/>
        <v>0</v>
      </c>
      <c r="AB283">
        <f>('Dota 2'!$H$10/$Z$4) * (1-($Y$9*($AA$2+J283))/($Y$7+$Y$9*ABS($AA$2+J283)) - $Z$4)</f>
        <v>0</v>
      </c>
      <c r="AC283">
        <f>IF('Dota 2'!$C$6, K283*M283*(1-$Z$3)*'Dota 2'!$H$8, K283*L283*(1-$Z$3)*'Dota 2'!$H$8)</f>
        <v>0</v>
      </c>
      <c r="AD283">
        <f>N283*O283*'Dota 2'!$H$10</f>
        <v>0</v>
      </c>
      <c r="AE283" s="2">
        <f t="shared" si="28"/>
        <v>0</v>
      </c>
      <c r="AF283" s="17">
        <f t="shared" si="29"/>
        <v>0</v>
      </c>
    </row>
    <row r="284" spans="1:32" x14ac:dyDescent="0.25">
      <c r="A284" s="6">
        <f>[1]Items!$A270</f>
        <v>0</v>
      </c>
      <c r="B284" s="16">
        <f>[1]Items!B270</f>
        <v>0</v>
      </c>
      <c r="C284" s="16">
        <f>[1]Items!C270</f>
        <v>0</v>
      </c>
      <c r="D284" s="16">
        <f>[1]Items!D270</f>
        <v>0</v>
      </c>
      <c r="E284" s="16">
        <f>[1]Items!E270</f>
        <v>0</v>
      </c>
      <c r="F284" s="16">
        <f>[1]Items!F270</f>
        <v>0</v>
      </c>
      <c r="G284" s="16">
        <f>[1]Items!G270</f>
        <v>0</v>
      </c>
      <c r="H284" s="16">
        <f>[1]Items!H270</f>
        <v>0</v>
      </c>
      <c r="I284" s="16">
        <f>[1]Items!I270</f>
        <v>0</v>
      </c>
      <c r="J284" s="16">
        <f>[1]Items!J270</f>
        <v>0</v>
      </c>
      <c r="K284" s="16">
        <f>[1]Items!K270</f>
        <v>0</v>
      </c>
      <c r="L284" s="16">
        <f>[1]Items!L270</f>
        <v>0</v>
      </c>
      <c r="M284" s="16">
        <f>[1]Items!M270</f>
        <v>0</v>
      </c>
      <c r="N284" s="16">
        <f>[1]Items!N270</f>
        <v>0</v>
      </c>
      <c r="O284" s="16">
        <f>[1]Items!O270</f>
        <v>0</v>
      </c>
      <c r="P284" s="16">
        <f>[1]Items!P270</f>
        <v>0</v>
      </c>
      <c r="Q284" s="16">
        <f>[1]Items!Q270</f>
        <v>0</v>
      </c>
      <c r="R284" s="16">
        <f>[1]Items!R270</f>
        <v>0</v>
      </c>
      <c r="S284" s="16">
        <f>[1]Items!S270</f>
        <v>0</v>
      </c>
      <c r="W284">
        <f>IF('Dota 2'!$C$6, (Items!C284+Items!E284)*Items!$X$2, (Items!C284+Items!D284)*Items!$X$2)</f>
        <v>0</v>
      </c>
      <c r="X284">
        <f t="shared" si="24"/>
        <v>0</v>
      </c>
      <c r="Y284">
        <f t="shared" si="25"/>
        <v>0</v>
      </c>
      <c r="Z284">
        <f t="shared" si="26"/>
        <v>0</v>
      </c>
      <c r="AA284">
        <f t="shared" si="27"/>
        <v>0</v>
      </c>
      <c r="AB284">
        <f>('Dota 2'!$H$10/$Z$4) * (1-($Y$9*($AA$2+J284))/($Y$7+$Y$9*ABS($AA$2+J284)) - $Z$4)</f>
        <v>0</v>
      </c>
      <c r="AC284">
        <f>IF('Dota 2'!$C$6, K284*M284*(1-$Z$3)*'Dota 2'!$H$8, K284*L284*(1-$Z$3)*'Dota 2'!$H$8)</f>
        <v>0</v>
      </c>
      <c r="AD284">
        <f>N284*O284*'Dota 2'!$H$10</f>
        <v>0</v>
      </c>
      <c r="AE284" s="2">
        <f t="shared" si="28"/>
        <v>0</v>
      </c>
      <c r="AF284" s="17">
        <f t="shared" si="29"/>
        <v>0</v>
      </c>
    </row>
    <row r="285" spans="1:32" x14ac:dyDescent="0.25">
      <c r="A285" s="6">
        <f>[1]Items!$A271</f>
        <v>0</v>
      </c>
      <c r="B285" s="16">
        <f>[1]Items!B271</f>
        <v>0</v>
      </c>
      <c r="C285" s="16">
        <f>[1]Items!C271</f>
        <v>0</v>
      </c>
      <c r="D285" s="16">
        <f>[1]Items!D271</f>
        <v>0</v>
      </c>
      <c r="E285" s="16">
        <f>[1]Items!E271</f>
        <v>0</v>
      </c>
      <c r="F285" s="16">
        <f>[1]Items!F271</f>
        <v>0</v>
      </c>
      <c r="G285" s="16">
        <f>[1]Items!G271</f>
        <v>0</v>
      </c>
      <c r="H285" s="16">
        <f>[1]Items!H271</f>
        <v>0</v>
      </c>
      <c r="I285" s="16">
        <f>[1]Items!I271</f>
        <v>0</v>
      </c>
      <c r="J285" s="16">
        <f>[1]Items!J271</f>
        <v>0</v>
      </c>
      <c r="K285" s="16">
        <f>[1]Items!K271</f>
        <v>0</v>
      </c>
      <c r="L285" s="16">
        <f>[1]Items!L271</f>
        <v>0</v>
      </c>
      <c r="M285" s="16">
        <f>[1]Items!M271</f>
        <v>0</v>
      </c>
      <c r="N285" s="16">
        <f>[1]Items!N271</f>
        <v>0</v>
      </c>
      <c r="O285" s="16">
        <f>[1]Items!O271</f>
        <v>0</v>
      </c>
      <c r="P285" s="16">
        <f>[1]Items!P271</f>
        <v>0</v>
      </c>
      <c r="Q285" s="16">
        <f>[1]Items!Q271</f>
        <v>0</v>
      </c>
      <c r="R285" s="16">
        <f>[1]Items!R271</f>
        <v>0</v>
      </c>
      <c r="S285" s="16">
        <f>[1]Items!S271</f>
        <v>0</v>
      </c>
      <c r="W285">
        <f>IF('Dota 2'!$C$6, (Items!C285+Items!E285)*Items!$X$2, (Items!C285+Items!D285)*Items!$X$2)</f>
        <v>0</v>
      </c>
      <c r="X285">
        <f t="shared" si="24"/>
        <v>0</v>
      </c>
      <c r="Y285">
        <f t="shared" si="25"/>
        <v>0</v>
      </c>
      <c r="Z285">
        <f t="shared" si="26"/>
        <v>0</v>
      </c>
      <c r="AA285">
        <f t="shared" si="27"/>
        <v>0</v>
      </c>
      <c r="AB285">
        <f>('Dota 2'!$H$10/$Z$4) * (1-($Y$9*($AA$2+J285))/($Y$7+$Y$9*ABS($AA$2+J285)) - $Z$4)</f>
        <v>0</v>
      </c>
      <c r="AC285">
        <f>IF('Dota 2'!$C$6, K285*M285*(1-$Z$3)*'Dota 2'!$H$8, K285*L285*(1-$Z$3)*'Dota 2'!$H$8)</f>
        <v>0</v>
      </c>
      <c r="AD285">
        <f>N285*O285*'Dota 2'!$H$10</f>
        <v>0</v>
      </c>
      <c r="AE285" s="2">
        <f t="shared" si="28"/>
        <v>0</v>
      </c>
      <c r="AF285" s="17">
        <f t="shared" si="29"/>
        <v>0</v>
      </c>
    </row>
    <row r="286" spans="1:32" x14ac:dyDescent="0.25">
      <c r="A286" s="6">
        <f>[1]Items!$A272</f>
        <v>0</v>
      </c>
      <c r="B286" s="16">
        <f>[1]Items!B272</f>
        <v>0</v>
      </c>
      <c r="C286" s="16">
        <f>[1]Items!C272</f>
        <v>0</v>
      </c>
      <c r="D286" s="16">
        <f>[1]Items!D272</f>
        <v>0</v>
      </c>
      <c r="E286" s="16">
        <f>[1]Items!E272</f>
        <v>0</v>
      </c>
      <c r="F286" s="16">
        <f>[1]Items!F272</f>
        <v>0</v>
      </c>
      <c r="G286" s="16">
        <f>[1]Items!G272</f>
        <v>0</v>
      </c>
      <c r="H286" s="16">
        <f>[1]Items!H272</f>
        <v>0</v>
      </c>
      <c r="I286" s="16">
        <f>[1]Items!I272</f>
        <v>0</v>
      </c>
      <c r="J286" s="16">
        <f>[1]Items!J272</f>
        <v>0</v>
      </c>
      <c r="K286" s="16">
        <f>[1]Items!K272</f>
        <v>0</v>
      </c>
      <c r="L286" s="16">
        <f>[1]Items!L272</f>
        <v>0</v>
      </c>
      <c r="M286" s="16">
        <f>[1]Items!M272</f>
        <v>0</v>
      </c>
      <c r="N286" s="16">
        <f>[1]Items!N272</f>
        <v>0</v>
      </c>
      <c r="O286" s="16">
        <f>[1]Items!O272</f>
        <v>0</v>
      </c>
      <c r="P286" s="16">
        <f>[1]Items!P272</f>
        <v>0</v>
      </c>
      <c r="Q286" s="16">
        <f>[1]Items!Q272</f>
        <v>0</v>
      </c>
      <c r="R286" s="16">
        <f>[1]Items!R272</f>
        <v>0</v>
      </c>
      <c r="S286" s="16">
        <f>[1]Items!S272</f>
        <v>0</v>
      </c>
      <c r="W286">
        <f>IF('Dota 2'!$C$6, (Items!C286+Items!E286)*Items!$X$2, (Items!C286+Items!D286)*Items!$X$2)</f>
        <v>0</v>
      </c>
      <c r="X286">
        <f t="shared" si="24"/>
        <v>0</v>
      </c>
      <c r="Y286">
        <f t="shared" si="25"/>
        <v>0</v>
      </c>
      <c r="Z286">
        <f t="shared" si="26"/>
        <v>0</v>
      </c>
      <c r="AA286">
        <f t="shared" si="27"/>
        <v>0</v>
      </c>
      <c r="AB286">
        <f>('Dota 2'!$H$10/$Z$4) * (1-($Y$9*($AA$2+J286))/($Y$7+$Y$9*ABS($AA$2+J286)) - $Z$4)</f>
        <v>0</v>
      </c>
      <c r="AC286">
        <f>IF('Dota 2'!$C$6, K286*M286*(1-$Z$3)*'Dota 2'!$H$8, K286*L286*(1-$Z$3)*'Dota 2'!$H$8)</f>
        <v>0</v>
      </c>
      <c r="AD286">
        <f>N286*O286*'Dota 2'!$H$10</f>
        <v>0</v>
      </c>
      <c r="AE286" s="2">
        <f t="shared" si="28"/>
        <v>0</v>
      </c>
      <c r="AF286" s="17">
        <f t="shared" si="29"/>
        <v>0</v>
      </c>
    </row>
    <row r="287" spans="1:32" x14ac:dyDescent="0.25">
      <c r="A287" s="6">
        <f>[1]Items!$A273</f>
        <v>0</v>
      </c>
      <c r="B287" s="16">
        <f>[1]Items!B273</f>
        <v>0</v>
      </c>
      <c r="C287" s="16">
        <f>[1]Items!C273</f>
        <v>0</v>
      </c>
      <c r="D287" s="16">
        <f>[1]Items!D273</f>
        <v>0</v>
      </c>
      <c r="E287" s="16">
        <f>[1]Items!E273</f>
        <v>0</v>
      </c>
      <c r="F287" s="16">
        <f>[1]Items!F273</f>
        <v>0</v>
      </c>
      <c r="G287" s="16">
        <f>[1]Items!G273</f>
        <v>0</v>
      </c>
      <c r="H287" s="16">
        <f>[1]Items!H273</f>
        <v>0</v>
      </c>
      <c r="I287" s="16">
        <f>[1]Items!I273</f>
        <v>0</v>
      </c>
      <c r="J287" s="16">
        <f>[1]Items!J273</f>
        <v>0</v>
      </c>
      <c r="K287" s="16">
        <f>[1]Items!K273</f>
        <v>0</v>
      </c>
      <c r="L287" s="16">
        <f>[1]Items!L273</f>
        <v>0</v>
      </c>
      <c r="M287" s="16">
        <f>[1]Items!M273</f>
        <v>0</v>
      </c>
      <c r="N287" s="16">
        <f>[1]Items!N273</f>
        <v>0</v>
      </c>
      <c r="O287" s="16">
        <f>[1]Items!O273</f>
        <v>0</v>
      </c>
      <c r="P287" s="16">
        <f>[1]Items!P273</f>
        <v>0</v>
      </c>
      <c r="Q287" s="16">
        <f>[1]Items!Q273</f>
        <v>0</v>
      </c>
      <c r="R287" s="16">
        <f>[1]Items!R273</f>
        <v>0</v>
      </c>
      <c r="S287" s="16">
        <f>[1]Items!S273</f>
        <v>0</v>
      </c>
      <c r="W287">
        <f>IF('Dota 2'!$C$6, (Items!C287+Items!E287)*Items!$X$2, (Items!C287+Items!D287)*Items!$X$2)</f>
        <v>0</v>
      </c>
      <c r="X287">
        <f t="shared" si="24"/>
        <v>0</v>
      </c>
      <c r="Y287">
        <f t="shared" si="25"/>
        <v>0</v>
      </c>
      <c r="Z287">
        <f t="shared" si="26"/>
        <v>0</v>
      </c>
      <c r="AA287">
        <f t="shared" si="27"/>
        <v>0</v>
      </c>
      <c r="AB287">
        <f>('Dota 2'!$H$10/$Z$4) * (1-($Y$9*($AA$2+J287))/($Y$7+$Y$9*ABS($AA$2+J287)) - $Z$4)</f>
        <v>0</v>
      </c>
      <c r="AC287">
        <f>IF('Dota 2'!$C$6, K287*M287*(1-$Z$3)*'Dota 2'!$H$8, K287*L287*(1-$Z$3)*'Dota 2'!$H$8)</f>
        <v>0</v>
      </c>
      <c r="AD287">
        <f>N287*O287*'Dota 2'!$H$10</f>
        <v>0</v>
      </c>
      <c r="AE287" s="2">
        <f t="shared" si="28"/>
        <v>0</v>
      </c>
      <c r="AF287" s="17">
        <f t="shared" si="29"/>
        <v>0</v>
      </c>
    </row>
    <row r="288" spans="1:32" x14ac:dyDescent="0.25">
      <c r="A288" s="6">
        <f>[1]Items!$A274</f>
        <v>0</v>
      </c>
      <c r="B288" s="16">
        <f>[1]Items!B274</f>
        <v>0</v>
      </c>
      <c r="C288" s="16">
        <f>[1]Items!C274</f>
        <v>0</v>
      </c>
      <c r="D288" s="16">
        <f>[1]Items!D274</f>
        <v>0</v>
      </c>
      <c r="E288" s="16">
        <f>[1]Items!E274</f>
        <v>0</v>
      </c>
      <c r="F288" s="16">
        <f>[1]Items!F274</f>
        <v>0</v>
      </c>
      <c r="G288" s="16">
        <f>[1]Items!G274</f>
        <v>0</v>
      </c>
      <c r="H288" s="16">
        <f>[1]Items!H274</f>
        <v>0</v>
      </c>
      <c r="I288" s="16">
        <f>[1]Items!I274</f>
        <v>0</v>
      </c>
      <c r="J288" s="16">
        <f>[1]Items!J274</f>
        <v>0</v>
      </c>
      <c r="K288" s="16">
        <f>[1]Items!K274</f>
        <v>0</v>
      </c>
      <c r="L288" s="16">
        <f>[1]Items!L274</f>
        <v>0</v>
      </c>
      <c r="M288" s="16">
        <f>[1]Items!M274</f>
        <v>0</v>
      </c>
      <c r="N288" s="16">
        <f>[1]Items!N274</f>
        <v>0</v>
      </c>
      <c r="O288" s="16">
        <f>[1]Items!O274</f>
        <v>0</v>
      </c>
      <c r="P288" s="16">
        <f>[1]Items!P274</f>
        <v>0</v>
      </c>
      <c r="Q288" s="16">
        <f>[1]Items!Q274</f>
        <v>0</v>
      </c>
      <c r="R288" s="16">
        <f>[1]Items!R274</f>
        <v>0</v>
      </c>
      <c r="S288" s="16">
        <f>[1]Items!S274</f>
        <v>0</v>
      </c>
      <c r="W288">
        <f>IF('Dota 2'!$C$6, (Items!C288+Items!E288)*Items!$X$2, (Items!C288+Items!D288)*Items!$X$2)</f>
        <v>0</v>
      </c>
      <c r="X288">
        <f t="shared" si="24"/>
        <v>0</v>
      </c>
      <c r="Y288">
        <f t="shared" si="25"/>
        <v>0</v>
      </c>
      <c r="Z288">
        <f t="shared" si="26"/>
        <v>0</v>
      </c>
      <c r="AA288">
        <f t="shared" si="27"/>
        <v>0</v>
      </c>
      <c r="AB288">
        <f>('Dota 2'!$H$10/$Z$4) * (1-($Y$9*($AA$2+J288))/($Y$7+$Y$9*ABS($AA$2+J288)) - $Z$4)</f>
        <v>0</v>
      </c>
      <c r="AC288">
        <f>IF('Dota 2'!$C$6, K288*M288*(1-$Z$3)*'Dota 2'!$H$8, K288*L288*(1-$Z$3)*'Dota 2'!$H$8)</f>
        <v>0</v>
      </c>
      <c r="AD288">
        <f>N288*O288*'Dota 2'!$H$10</f>
        <v>0</v>
      </c>
      <c r="AE288" s="2">
        <f t="shared" si="28"/>
        <v>0</v>
      </c>
      <c r="AF288" s="17">
        <f t="shared" si="29"/>
        <v>0</v>
      </c>
    </row>
    <row r="289" spans="1:32" x14ac:dyDescent="0.25">
      <c r="A289" s="6">
        <f>[1]Items!$A275</f>
        <v>0</v>
      </c>
      <c r="B289" s="16">
        <f>[1]Items!B275</f>
        <v>0</v>
      </c>
      <c r="C289" s="16">
        <f>[1]Items!C275</f>
        <v>0</v>
      </c>
      <c r="D289" s="16">
        <f>[1]Items!D275</f>
        <v>0</v>
      </c>
      <c r="E289" s="16">
        <f>[1]Items!E275</f>
        <v>0</v>
      </c>
      <c r="F289" s="16">
        <f>[1]Items!F275</f>
        <v>0</v>
      </c>
      <c r="G289" s="16">
        <f>[1]Items!G275</f>
        <v>0</v>
      </c>
      <c r="H289" s="16">
        <f>[1]Items!H275</f>
        <v>0</v>
      </c>
      <c r="I289" s="16">
        <f>[1]Items!I275</f>
        <v>0</v>
      </c>
      <c r="J289" s="16">
        <f>[1]Items!J275</f>
        <v>0</v>
      </c>
      <c r="K289" s="16">
        <f>[1]Items!K275</f>
        <v>0</v>
      </c>
      <c r="L289" s="16">
        <f>[1]Items!L275</f>
        <v>0</v>
      </c>
      <c r="M289" s="16">
        <f>[1]Items!M275</f>
        <v>0</v>
      </c>
      <c r="N289" s="16">
        <f>[1]Items!N275</f>
        <v>0</v>
      </c>
      <c r="O289" s="16">
        <f>[1]Items!O275</f>
        <v>0</v>
      </c>
      <c r="P289" s="16">
        <f>[1]Items!P275</f>
        <v>0</v>
      </c>
      <c r="Q289" s="16">
        <f>[1]Items!Q275</f>
        <v>0</v>
      </c>
      <c r="R289" s="16">
        <f>[1]Items!R275</f>
        <v>0</v>
      </c>
      <c r="S289" s="16">
        <f>[1]Items!S275</f>
        <v>0</v>
      </c>
      <c r="W289">
        <f>IF('Dota 2'!$C$6, (Items!C289+Items!E289)*Items!$X$2, (Items!C289+Items!D289)*Items!$X$2)</f>
        <v>0</v>
      </c>
      <c r="X289">
        <f t="shared" si="24"/>
        <v>0</v>
      </c>
      <c r="Y289">
        <f t="shared" si="25"/>
        <v>0</v>
      </c>
      <c r="Z289">
        <f t="shared" si="26"/>
        <v>0</v>
      </c>
      <c r="AA289">
        <f t="shared" si="27"/>
        <v>0</v>
      </c>
      <c r="AB289">
        <f>('Dota 2'!$H$10/$Z$4) * (1-($Y$9*($AA$2+J289))/($Y$7+$Y$9*ABS($AA$2+J289)) - $Z$4)</f>
        <v>0</v>
      </c>
      <c r="AC289">
        <f>IF('Dota 2'!$C$6, K289*M289*(1-$Z$3)*'Dota 2'!$H$8, K289*L289*(1-$Z$3)*'Dota 2'!$H$8)</f>
        <v>0</v>
      </c>
      <c r="AD289">
        <f>N289*O289*'Dota 2'!$H$10</f>
        <v>0</v>
      </c>
      <c r="AE289" s="2">
        <f t="shared" si="28"/>
        <v>0</v>
      </c>
      <c r="AF289" s="17">
        <f t="shared" si="29"/>
        <v>0</v>
      </c>
    </row>
    <row r="290" spans="1:32" x14ac:dyDescent="0.25">
      <c r="A290" s="6">
        <f>[1]Items!$A276</f>
        <v>0</v>
      </c>
      <c r="B290" s="16">
        <f>[1]Items!B276</f>
        <v>0</v>
      </c>
      <c r="C290" s="16">
        <f>[1]Items!C276</f>
        <v>0</v>
      </c>
      <c r="D290" s="16">
        <f>[1]Items!D276</f>
        <v>0</v>
      </c>
      <c r="E290" s="16">
        <f>[1]Items!E276</f>
        <v>0</v>
      </c>
      <c r="F290" s="16">
        <f>[1]Items!F276</f>
        <v>0</v>
      </c>
      <c r="G290" s="16">
        <f>[1]Items!G276</f>
        <v>0</v>
      </c>
      <c r="H290" s="16">
        <f>[1]Items!H276</f>
        <v>0</v>
      </c>
      <c r="I290" s="16">
        <f>[1]Items!I276</f>
        <v>0</v>
      </c>
      <c r="J290" s="16">
        <f>[1]Items!J276</f>
        <v>0</v>
      </c>
      <c r="K290" s="16">
        <f>[1]Items!K276</f>
        <v>0</v>
      </c>
      <c r="L290" s="16">
        <f>[1]Items!L276</f>
        <v>0</v>
      </c>
      <c r="M290" s="16">
        <f>[1]Items!M276</f>
        <v>0</v>
      </c>
      <c r="N290" s="16">
        <f>[1]Items!N276</f>
        <v>0</v>
      </c>
      <c r="O290" s="16">
        <f>[1]Items!O276</f>
        <v>0</v>
      </c>
      <c r="P290" s="16">
        <f>[1]Items!P276</f>
        <v>0</v>
      </c>
      <c r="Q290" s="16">
        <f>[1]Items!Q276</f>
        <v>0</v>
      </c>
      <c r="R290" s="16">
        <f>[1]Items!R276</f>
        <v>0</v>
      </c>
      <c r="S290" s="16">
        <f>[1]Items!S276</f>
        <v>0</v>
      </c>
      <c r="W290">
        <f>IF('Dota 2'!$C$6, (Items!C290+Items!E290)*Items!$X$2, (Items!C290+Items!D290)*Items!$X$2)</f>
        <v>0</v>
      </c>
      <c r="X290">
        <f t="shared" si="24"/>
        <v>0</v>
      </c>
      <c r="Y290">
        <f t="shared" si="25"/>
        <v>0</v>
      </c>
      <c r="Z290">
        <f t="shared" si="26"/>
        <v>0</v>
      </c>
      <c r="AA290">
        <f t="shared" si="27"/>
        <v>0</v>
      </c>
      <c r="AB290">
        <f>('Dota 2'!$H$10/$Z$4) * (1-($Y$9*($AA$2+J290))/($Y$7+$Y$9*ABS($AA$2+J290)) - $Z$4)</f>
        <v>0</v>
      </c>
      <c r="AC290">
        <f>IF('Dota 2'!$C$6, K290*M290*(1-$Z$3)*'Dota 2'!$H$8, K290*L290*(1-$Z$3)*'Dota 2'!$H$8)</f>
        <v>0</v>
      </c>
      <c r="AD290">
        <f>N290*O290*'Dota 2'!$H$10</f>
        <v>0</v>
      </c>
      <c r="AE290" s="2">
        <f t="shared" si="28"/>
        <v>0</v>
      </c>
      <c r="AF290" s="17">
        <f t="shared" si="29"/>
        <v>0</v>
      </c>
    </row>
    <row r="291" spans="1:32" x14ac:dyDescent="0.25">
      <c r="A291" s="6">
        <f>[1]Items!$A277</f>
        <v>0</v>
      </c>
      <c r="B291" s="16">
        <f>[1]Items!B277</f>
        <v>0</v>
      </c>
      <c r="C291" s="16">
        <f>[1]Items!C277</f>
        <v>0</v>
      </c>
      <c r="D291" s="16">
        <f>[1]Items!D277</f>
        <v>0</v>
      </c>
      <c r="E291" s="16">
        <f>[1]Items!E277</f>
        <v>0</v>
      </c>
      <c r="F291" s="16">
        <f>[1]Items!F277</f>
        <v>0</v>
      </c>
      <c r="G291" s="16">
        <f>[1]Items!G277</f>
        <v>0</v>
      </c>
      <c r="H291" s="16">
        <f>[1]Items!H277</f>
        <v>0</v>
      </c>
      <c r="I291" s="16">
        <f>[1]Items!I277</f>
        <v>0</v>
      </c>
      <c r="J291" s="16">
        <f>[1]Items!J277</f>
        <v>0</v>
      </c>
      <c r="K291" s="16">
        <f>[1]Items!K277</f>
        <v>0</v>
      </c>
      <c r="L291" s="16">
        <f>[1]Items!L277</f>
        <v>0</v>
      </c>
      <c r="M291" s="16">
        <f>[1]Items!M277</f>
        <v>0</v>
      </c>
      <c r="N291" s="16">
        <f>[1]Items!N277</f>
        <v>0</v>
      </c>
      <c r="O291" s="16">
        <f>[1]Items!O277</f>
        <v>0</v>
      </c>
      <c r="P291" s="16">
        <f>[1]Items!P277</f>
        <v>0</v>
      </c>
      <c r="Q291" s="16">
        <f>[1]Items!Q277</f>
        <v>0</v>
      </c>
      <c r="R291" s="16">
        <f>[1]Items!R277</f>
        <v>0</v>
      </c>
      <c r="S291" s="16">
        <f>[1]Items!S277</f>
        <v>0</v>
      </c>
      <c r="W291">
        <f>IF('Dota 2'!$C$6, (Items!C291+Items!E291)*Items!$X$2, (Items!C291+Items!D291)*Items!$X$2)</f>
        <v>0</v>
      </c>
      <c r="X291">
        <f t="shared" si="24"/>
        <v>0</v>
      </c>
      <c r="Y291">
        <f t="shared" si="25"/>
        <v>0</v>
      </c>
      <c r="Z291">
        <f t="shared" si="26"/>
        <v>0</v>
      </c>
      <c r="AA291">
        <f t="shared" si="27"/>
        <v>0</v>
      </c>
      <c r="AB291">
        <f>('Dota 2'!$H$10/$Z$4) * (1-($Y$9*($AA$2+J291))/($Y$7+$Y$9*ABS($AA$2+J291)) - $Z$4)</f>
        <v>0</v>
      </c>
      <c r="AC291">
        <f>IF('Dota 2'!$C$6, K291*M291*(1-$Z$3)*'Dota 2'!$H$8, K291*L291*(1-$Z$3)*'Dota 2'!$H$8)</f>
        <v>0</v>
      </c>
      <c r="AD291">
        <f>N291*O291*'Dota 2'!$H$10</f>
        <v>0</v>
      </c>
      <c r="AE291" s="2">
        <f t="shared" si="28"/>
        <v>0</v>
      </c>
      <c r="AF291" s="17">
        <f t="shared" si="29"/>
        <v>0</v>
      </c>
    </row>
    <row r="292" spans="1:32" x14ac:dyDescent="0.25">
      <c r="A292" s="6">
        <f>[1]Items!$A278</f>
        <v>0</v>
      </c>
      <c r="B292" s="16">
        <f>[1]Items!B278</f>
        <v>0</v>
      </c>
      <c r="C292" s="16">
        <f>[1]Items!C278</f>
        <v>0</v>
      </c>
      <c r="D292" s="16">
        <f>[1]Items!D278</f>
        <v>0</v>
      </c>
      <c r="E292" s="16">
        <f>[1]Items!E278</f>
        <v>0</v>
      </c>
      <c r="F292" s="16">
        <f>[1]Items!F278</f>
        <v>0</v>
      </c>
      <c r="G292" s="16">
        <f>[1]Items!G278</f>
        <v>0</v>
      </c>
      <c r="H292" s="16">
        <f>[1]Items!H278</f>
        <v>0</v>
      </c>
      <c r="I292" s="16">
        <f>[1]Items!I278</f>
        <v>0</v>
      </c>
      <c r="J292" s="16">
        <f>[1]Items!J278</f>
        <v>0</v>
      </c>
      <c r="K292" s="16">
        <f>[1]Items!K278</f>
        <v>0</v>
      </c>
      <c r="L292" s="16">
        <f>[1]Items!L278</f>
        <v>0</v>
      </c>
      <c r="M292" s="16">
        <f>[1]Items!M278</f>
        <v>0</v>
      </c>
      <c r="N292" s="16">
        <f>[1]Items!N278</f>
        <v>0</v>
      </c>
      <c r="O292" s="16">
        <f>[1]Items!O278</f>
        <v>0</v>
      </c>
      <c r="P292" s="16">
        <f>[1]Items!P278</f>
        <v>0</v>
      </c>
      <c r="Q292" s="16">
        <f>[1]Items!Q278</f>
        <v>0</v>
      </c>
      <c r="R292" s="16">
        <f>[1]Items!R278</f>
        <v>0</v>
      </c>
      <c r="S292" s="16">
        <f>[1]Items!S278</f>
        <v>0</v>
      </c>
      <c r="W292">
        <f>IF('Dota 2'!$C$6, (Items!C292+Items!E292)*Items!$X$2, (Items!C292+Items!D292)*Items!$X$2)</f>
        <v>0</v>
      </c>
      <c r="X292">
        <f t="shared" si="24"/>
        <v>0</v>
      </c>
      <c r="Y292">
        <f t="shared" si="25"/>
        <v>0</v>
      </c>
      <c r="Z292">
        <f t="shared" si="26"/>
        <v>0</v>
      </c>
      <c r="AA292">
        <f t="shared" si="27"/>
        <v>0</v>
      </c>
      <c r="AB292">
        <f>('Dota 2'!$H$10/$Z$4) * (1-($Y$9*($AA$2+J292))/($Y$7+$Y$9*ABS($AA$2+J292)) - $Z$4)</f>
        <v>0</v>
      </c>
      <c r="AC292">
        <f>IF('Dota 2'!$C$6, K292*M292*(1-$Z$3)*'Dota 2'!$H$8, K292*L292*(1-$Z$3)*'Dota 2'!$H$8)</f>
        <v>0</v>
      </c>
      <c r="AD292">
        <f>N292*O292*'Dota 2'!$H$10</f>
        <v>0</v>
      </c>
      <c r="AE292" s="2">
        <f t="shared" si="28"/>
        <v>0</v>
      </c>
      <c r="AF292" s="17">
        <f t="shared" si="29"/>
        <v>0</v>
      </c>
    </row>
    <row r="293" spans="1:32" x14ac:dyDescent="0.25">
      <c r="A293" s="6">
        <f>[1]Items!$A279</f>
        <v>0</v>
      </c>
      <c r="B293" s="16">
        <f>[1]Items!B279</f>
        <v>0</v>
      </c>
      <c r="C293" s="16">
        <f>[1]Items!C279</f>
        <v>0</v>
      </c>
      <c r="D293" s="16">
        <f>[1]Items!D279</f>
        <v>0</v>
      </c>
      <c r="E293" s="16">
        <f>[1]Items!E279</f>
        <v>0</v>
      </c>
      <c r="F293" s="16">
        <f>[1]Items!F279</f>
        <v>0</v>
      </c>
      <c r="G293" s="16">
        <f>[1]Items!G279</f>
        <v>0</v>
      </c>
      <c r="H293" s="16">
        <f>[1]Items!H279</f>
        <v>0</v>
      </c>
      <c r="I293" s="16">
        <f>[1]Items!I279</f>
        <v>0</v>
      </c>
      <c r="J293" s="16">
        <f>[1]Items!J279</f>
        <v>0</v>
      </c>
      <c r="K293" s="16">
        <f>[1]Items!K279</f>
        <v>0</v>
      </c>
      <c r="L293" s="16">
        <f>[1]Items!L279</f>
        <v>0</v>
      </c>
      <c r="M293" s="16">
        <f>[1]Items!M279</f>
        <v>0</v>
      </c>
      <c r="N293" s="16">
        <f>[1]Items!N279</f>
        <v>0</v>
      </c>
      <c r="O293" s="16">
        <f>[1]Items!O279</f>
        <v>0</v>
      </c>
      <c r="P293" s="16">
        <f>[1]Items!P279</f>
        <v>0</v>
      </c>
      <c r="Q293" s="16">
        <f>[1]Items!Q279</f>
        <v>0</v>
      </c>
      <c r="R293" s="16">
        <f>[1]Items!R279</f>
        <v>0</v>
      </c>
      <c r="S293" s="16">
        <f>[1]Items!S279</f>
        <v>0</v>
      </c>
      <c r="W293">
        <f>IF('Dota 2'!$C$6, (Items!C293+Items!E293)*Items!$X$2, (Items!C293+Items!D293)*Items!$X$2)</f>
        <v>0</v>
      </c>
      <c r="X293">
        <f t="shared" si="24"/>
        <v>0</v>
      </c>
      <c r="Y293">
        <f t="shared" si="25"/>
        <v>0</v>
      </c>
      <c r="Z293">
        <f t="shared" si="26"/>
        <v>0</v>
      </c>
      <c r="AA293">
        <f t="shared" si="27"/>
        <v>0</v>
      </c>
      <c r="AB293">
        <f>('Dota 2'!$H$10/$Z$4) * (1-($Y$9*($AA$2+J293))/($Y$7+$Y$9*ABS($AA$2+J293)) - $Z$4)</f>
        <v>0</v>
      </c>
      <c r="AC293">
        <f>IF('Dota 2'!$C$6, K293*M293*(1-$Z$3)*'Dota 2'!$H$8, K293*L293*(1-$Z$3)*'Dota 2'!$H$8)</f>
        <v>0</v>
      </c>
      <c r="AD293">
        <f>N293*O293*'Dota 2'!$H$10</f>
        <v>0</v>
      </c>
      <c r="AE293" s="2">
        <f t="shared" si="28"/>
        <v>0</v>
      </c>
      <c r="AF293" s="17">
        <f t="shared" si="29"/>
        <v>0</v>
      </c>
    </row>
    <row r="294" spans="1:32" x14ac:dyDescent="0.25">
      <c r="A294" s="6">
        <f>[1]Items!$A280</f>
        <v>0</v>
      </c>
      <c r="B294" s="16">
        <f>[1]Items!B280</f>
        <v>0</v>
      </c>
      <c r="C294" s="16">
        <f>[1]Items!C280</f>
        <v>0</v>
      </c>
      <c r="D294" s="16">
        <f>[1]Items!D280</f>
        <v>0</v>
      </c>
      <c r="E294" s="16">
        <f>[1]Items!E280</f>
        <v>0</v>
      </c>
      <c r="F294" s="16">
        <f>[1]Items!F280</f>
        <v>0</v>
      </c>
      <c r="G294" s="16">
        <f>[1]Items!G280</f>
        <v>0</v>
      </c>
      <c r="H294" s="16">
        <f>[1]Items!H280</f>
        <v>0</v>
      </c>
      <c r="I294" s="16">
        <f>[1]Items!I280</f>
        <v>0</v>
      </c>
      <c r="J294" s="16">
        <f>[1]Items!J280</f>
        <v>0</v>
      </c>
      <c r="K294" s="16">
        <f>[1]Items!K280</f>
        <v>0</v>
      </c>
      <c r="L294" s="16">
        <f>[1]Items!L280</f>
        <v>0</v>
      </c>
      <c r="M294" s="16">
        <f>[1]Items!M280</f>
        <v>0</v>
      </c>
      <c r="N294" s="16">
        <f>[1]Items!N280</f>
        <v>0</v>
      </c>
      <c r="O294" s="16">
        <f>[1]Items!O280</f>
        <v>0</v>
      </c>
      <c r="P294" s="16">
        <f>[1]Items!P280</f>
        <v>0</v>
      </c>
      <c r="Q294" s="16">
        <f>[1]Items!Q280</f>
        <v>0</v>
      </c>
      <c r="R294" s="16">
        <f>[1]Items!R280</f>
        <v>0</v>
      </c>
      <c r="S294" s="16">
        <f>[1]Items!S280</f>
        <v>0</v>
      </c>
      <c r="W294">
        <f>IF('Dota 2'!$C$6, (Items!C294+Items!E294)*Items!$X$2, (Items!C294+Items!D294)*Items!$X$2)</f>
        <v>0</v>
      </c>
      <c r="X294">
        <f t="shared" si="24"/>
        <v>0</v>
      </c>
      <c r="Y294">
        <f t="shared" si="25"/>
        <v>0</v>
      </c>
      <c r="Z294">
        <f t="shared" si="26"/>
        <v>0</v>
      </c>
      <c r="AA294">
        <f t="shared" si="27"/>
        <v>0</v>
      </c>
      <c r="AB294">
        <f>('Dota 2'!$H$10/$Z$4) * (1-($Y$9*($AA$2+J294))/($Y$7+$Y$9*ABS($AA$2+J294)) - $Z$4)</f>
        <v>0</v>
      </c>
      <c r="AC294">
        <f>IF('Dota 2'!$C$6, K294*M294*(1-$Z$3)*'Dota 2'!$H$8, K294*L294*(1-$Z$3)*'Dota 2'!$H$8)</f>
        <v>0</v>
      </c>
      <c r="AD294">
        <f>N294*O294*'Dota 2'!$H$10</f>
        <v>0</v>
      </c>
      <c r="AE294" s="2">
        <f t="shared" si="28"/>
        <v>0</v>
      </c>
      <c r="AF294" s="17">
        <f t="shared" si="29"/>
        <v>0</v>
      </c>
    </row>
    <row r="295" spans="1:32" x14ac:dyDescent="0.25">
      <c r="A295" s="6">
        <f>[1]Items!$A281</f>
        <v>0</v>
      </c>
      <c r="B295" s="16">
        <f>[1]Items!B281</f>
        <v>0</v>
      </c>
      <c r="C295" s="16">
        <f>[1]Items!C281</f>
        <v>0</v>
      </c>
      <c r="D295" s="16">
        <f>[1]Items!D281</f>
        <v>0</v>
      </c>
      <c r="E295" s="16">
        <f>[1]Items!E281</f>
        <v>0</v>
      </c>
      <c r="F295" s="16">
        <f>[1]Items!F281</f>
        <v>0</v>
      </c>
      <c r="G295" s="16">
        <f>[1]Items!G281</f>
        <v>0</v>
      </c>
      <c r="H295" s="16">
        <f>[1]Items!H281</f>
        <v>0</v>
      </c>
      <c r="I295" s="16">
        <f>[1]Items!I281</f>
        <v>0</v>
      </c>
      <c r="J295" s="16">
        <f>[1]Items!J281</f>
        <v>0</v>
      </c>
      <c r="K295" s="16">
        <f>[1]Items!K281</f>
        <v>0</v>
      </c>
      <c r="L295" s="16">
        <f>[1]Items!L281</f>
        <v>0</v>
      </c>
      <c r="M295" s="16">
        <f>[1]Items!M281</f>
        <v>0</v>
      </c>
      <c r="N295" s="16">
        <f>[1]Items!N281</f>
        <v>0</v>
      </c>
      <c r="O295" s="16">
        <f>[1]Items!O281</f>
        <v>0</v>
      </c>
      <c r="P295" s="16">
        <f>[1]Items!P281</f>
        <v>0</v>
      </c>
      <c r="Q295" s="16">
        <f>[1]Items!Q281</f>
        <v>0</v>
      </c>
      <c r="R295" s="16">
        <f>[1]Items!R281</f>
        <v>0</v>
      </c>
      <c r="S295" s="16">
        <f>[1]Items!S281</f>
        <v>0</v>
      </c>
      <c r="W295">
        <f>IF('Dota 2'!$C$6, (Items!C295+Items!E295)*Items!$X$2, (Items!C295+Items!D295)*Items!$X$2)</f>
        <v>0</v>
      </c>
      <c r="X295">
        <f t="shared" si="24"/>
        <v>0</v>
      </c>
      <c r="Y295">
        <f t="shared" si="25"/>
        <v>0</v>
      </c>
      <c r="Z295">
        <f t="shared" si="26"/>
        <v>0</v>
      </c>
      <c r="AA295">
        <f t="shared" si="27"/>
        <v>0</v>
      </c>
      <c r="AB295">
        <f>('Dota 2'!$H$10/$Z$4) * (1-($Y$9*($AA$2+J295))/($Y$7+$Y$9*ABS($AA$2+J295)) - $Z$4)</f>
        <v>0</v>
      </c>
      <c r="AC295">
        <f>IF('Dota 2'!$C$6, K295*M295*(1-$Z$3)*'Dota 2'!$H$8, K295*L295*(1-$Z$3)*'Dota 2'!$H$8)</f>
        <v>0</v>
      </c>
      <c r="AD295">
        <f>N295*O295*'Dota 2'!$H$10</f>
        <v>0</v>
      </c>
      <c r="AE295" s="2">
        <f t="shared" si="28"/>
        <v>0</v>
      </c>
      <c r="AF295" s="17">
        <f t="shared" si="29"/>
        <v>0</v>
      </c>
    </row>
    <row r="296" spans="1:32" x14ac:dyDescent="0.25">
      <c r="A296" s="6">
        <f>[1]Items!$A282</f>
        <v>0</v>
      </c>
      <c r="B296" s="16">
        <f>[1]Items!B282</f>
        <v>0</v>
      </c>
      <c r="C296" s="16">
        <f>[1]Items!C282</f>
        <v>0</v>
      </c>
      <c r="D296" s="16">
        <f>[1]Items!D282</f>
        <v>0</v>
      </c>
      <c r="E296" s="16">
        <f>[1]Items!E282</f>
        <v>0</v>
      </c>
      <c r="F296" s="16">
        <f>[1]Items!F282</f>
        <v>0</v>
      </c>
      <c r="G296" s="16">
        <f>[1]Items!G282</f>
        <v>0</v>
      </c>
      <c r="H296" s="16">
        <f>[1]Items!H282</f>
        <v>0</v>
      </c>
      <c r="I296" s="16">
        <f>[1]Items!I282</f>
        <v>0</v>
      </c>
      <c r="J296" s="16">
        <f>[1]Items!J282</f>
        <v>0</v>
      </c>
      <c r="K296" s="16">
        <f>[1]Items!K282</f>
        <v>0</v>
      </c>
      <c r="L296" s="16">
        <f>[1]Items!L282</f>
        <v>0</v>
      </c>
      <c r="M296" s="16">
        <f>[1]Items!M282</f>
        <v>0</v>
      </c>
      <c r="N296" s="16">
        <f>[1]Items!N282</f>
        <v>0</v>
      </c>
      <c r="O296" s="16">
        <f>[1]Items!O282</f>
        <v>0</v>
      </c>
      <c r="P296" s="16">
        <f>[1]Items!P282</f>
        <v>0</v>
      </c>
      <c r="Q296" s="16">
        <f>[1]Items!Q282</f>
        <v>0</v>
      </c>
      <c r="R296" s="16">
        <f>[1]Items!R282</f>
        <v>0</v>
      </c>
      <c r="S296" s="16">
        <f>[1]Items!S282</f>
        <v>0</v>
      </c>
      <c r="W296">
        <f>IF('Dota 2'!$C$6, (Items!C296+Items!E296)*Items!$X$2, (Items!C296+Items!D296)*Items!$X$2)</f>
        <v>0</v>
      </c>
      <c r="X296">
        <f t="shared" si="24"/>
        <v>0</v>
      </c>
      <c r="Y296">
        <f t="shared" si="25"/>
        <v>0</v>
      </c>
      <c r="Z296">
        <f t="shared" si="26"/>
        <v>0</v>
      </c>
      <c r="AA296">
        <f t="shared" si="27"/>
        <v>0</v>
      </c>
      <c r="AB296">
        <f>('Dota 2'!$H$10/$Z$4) * (1-($Y$9*($AA$2+J296))/($Y$7+$Y$9*ABS($AA$2+J296)) - $Z$4)</f>
        <v>0</v>
      </c>
      <c r="AC296">
        <f>IF('Dota 2'!$C$6, K296*M296*(1-$Z$3)*'Dota 2'!$H$8, K296*L296*(1-$Z$3)*'Dota 2'!$H$8)</f>
        <v>0</v>
      </c>
      <c r="AD296">
        <f>N296*O296*'Dota 2'!$H$10</f>
        <v>0</v>
      </c>
      <c r="AE296" s="2">
        <f t="shared" si="28"/>
        <v>0</v>
      </c>
      <c r="AF296" s="17">
        <f t="shared" si="29"/>
        <v>0</v>
      </c>
    </row>
    <row r="297" spans="1:32" x14ac:dyDescent="0.25">
      <c r="A297" s="6">
        <f>[1]Items!$A283</f>
        <v>0</v>
      </c>
      <c r="B297" s="16">
        <f>[1]Items!B283</f>
        <v>0</v>
      </c>
      <c r="C297" s="16">
        <f>[1]Items!C283</f>
        <v>0</v>
      </c>
      <c r="D297" s="16">
        <f>[1]Items!D283</f>
        <v>0</v>
      </c>
      <c r="E297" s="16">
        <f>[1]Items!E283</f>
        <v>0</v>
      </c>
      <c r="F297" s="16">
        <f>[1]Items!F283</f>
        <v>0</v>
      </c>
      <c r="G297" s="16">
        <f>[1]Items!G283</f>
        <v>0</v>
      </c>
      <c r="H297" s="16">
        <f>[1]Items!H283</f>
        <v>0</v>
      </c>
      <c r="I297" s="16">
        <f>[1]Items!I283</f>
        <v>0</v>
      </c>
      <c r="J297" s="16">
        <f>[1]Items!J283</f>
        <v>0</v>
      </c>
      <c r="K297" s="16">
        <f>[1]Items!K283</f>
        <v>0</v>
      </c>
      <c r="L297" s="16">
        <f>[1]Items!L283</f>
        <v>0</v>
      </c>
      <c r="M297" s="16">
        <f>[1]Items!M283</f>
        <v>0</v>
      </c>
      <c r="N297" s="16">
        <f>[1]Items!N283</f>
        <v>0</v>
      </c>
      <c r="O297" s="16">
        <f>[1]Items!O283</f>
        <v>0</v>
      </c>
      <c r="P297" s="16">
        <f>[1]Items!P283</f>
        <v>0</v>
      </c>
      <c r="Q297" s="16">
        <f>[1]Items!Q283</f>
        <v>0</v>
      </c>
      <c r="R297" s="16">
        <f>[1]Items!R283</f>
        <v>0</v>
      </c>
      <c r="S297" s="16">
        <f>[1]Items!S283</f>
        <v>0</v>
      </c>
      <c r="W297">
        <f>IF('Dota 2'!$C$6, (Items!C297+Items!E297)*Items!$X$2, (Items!C297+Items!D297)*Items!$X$2)</f>
        <v>0</v>
      </c>
      <c r="X297">
        <f t="shared" si="24"/>
        <v>0</v>
      </c>
      <c r="Y297">
        <f t="shared" si="25"/>
        <v>0</v>
      </c>
      <c r="Z297">
        <f t="shared" si="26"/>
        <v>0</v>
      </c>
      <c r="AA297">
        <f t="shared" si="27"/>
        <v>0</v>
      </c>
      <c r="AB297">
        <f>('Dota 2'!$H$10/$Z$4) * (1-($Y$9*($AA$2+J297))/($Y$7+$Y$9*ABS($AA$2+J297)) - $Z$4)</f>
        <v>0</v>
      </c>
      <c r="AC297">
        <f>IF('Dota 2'!$C$6, K297*M297*(1-$Z$3)*'Dota 2'!$H$8, K297*L297*(1-$Z$3)*'Dota 2'!$H$8)</f>
        <v>0</v>
      </c>
      <c r="AD297">
        <f>N297*O297*'Dota 2'!$H$10</f>
        <v>0</v>
      </c>
      <c r="AE297" s="2">
        <f t="shared" si="28"/>
        <v>0</v>
      </c>
      <c r="AF297" s="17">
        <f t="shared" si="29"/>
        <v>0</v>
      </c>
    </row>
    <row r="298" spans="1:32" x14ac:dyDescent="0.25">
      <c r="A298" s="6">
        <f>[1]Items!$A284</f>
        <v>0</v>
      </c>
      <c r="B298" s="16">
        <f>[1]Items!B284</f>
        <v>0</v>
      </c>
      <c r="C298" s="16">
        <f>[1]Items!C284</f>
        <v>0</v>
      </c>
      <c r="D298" s="16">
        <f>[1]Items!D284</f>
        <v>0</v>
      </c>
      <c r="E298" s="16">
        <f>[1]Items!E284</f>
        <v>0</v>
      </c>
      <c r="F298" s="16">
        <f>[1]Items!F284</f>
        <v>0</v>
      </c>
      <c r="G298" s="16">
        <f>[1]Items!G284</f>
        <v>0</v>
      </c>
      <c r="H298" s="16">
        <f>[1]Items!H284</f>
        <v>0</v>
      </c>
      <c r="I298" s="16">
        <f>[1]Items!I284</f>
        <v>0</v>
      </c>
      <c r="J298" s="16">
        <f>[1]Items!J284</f>
        <v>0</v>
      </c>
      <c r="K298" s="16">
        <f>[1]Items!K284</f>
        <v>0</v>
      </c>
      <c r="L298" s="16">
        <f>[1]Items!L284</f>
        <v>0</v>
      </c>
      <c r="M298" s="16">
        <f>[1]Items!M284</f>
        <v>0</v>
      </c>
      <c r="N298" s="16">
        <f>[1]Items!N284</f>
        <v>0</v>
      </c>
      <c r="O298" s="16">
        <f>[1]Items!O284</f>
        <v>0</v>
      </c>
      <c r="P298" s="16">
        <f>[1]Items!P284</f>
        <v>0</v>
      </c>
      <c r="Q298" s="16">
        <f>[1]Items!Q284</f>
        <v>0</v>
      </c>
      <c r="R298" s="16">
        <f>[1]Items!R284</f>
        <v>0</v>
      </c>
      <c r="S298" s="16">
        <f>[1]Items!S284</f>
        <v>0</v>
      </c>
      <c r="W298">
        <f>IF('Dota 2'!$C$6, (Items!C298+Items!E298)*Items!$X$2, (Items!C298+Items!D298)*Items!$X$2)</f>
        <v>0</v>
      </c>
      <c r="X298">
        <f t="shared" si="24"/>
        <v>0</v>
      </c>
      <c r="Y298">
        <f t="shared" si="25"/>
        <v>0</v>
      </c>
      <c r="Z298">
        <f t="shared" si="26"/>
        <v>0</v>
      </c>
      <c r="AA298">
        <f t="shared" si="27"/>
        <v>0</v>
      </c>
      <c r="AB298">
        <f>('Dota 2'!$H$10/$Z$4) * (1-($Y$9*($AA$2+J298))/($Y$7+$Y$9*ABS($AA$2+J298)) - $Z$4)</f>
        <v>0</v>
      </c>
      <c r="AC298">
        <f>IF('Dota 2'!$C$6, K298*M298*(1-$Z$3)*'Dota 2'!$H$8, K298*L298*(1-$Z$3)*'Dota 2'!$H$8)</f>
        <v>0</v>
      </c>
      <c r="AD298">
        <f>N298*O298*'Dota 2'!$H$10</f>
        <v>0</v>
      </c>
      <c r="AE298" s="2">
        <f t="shared" si="28"/>
        <v>0</v>
      </c>
      <c r="AF298" s="17">
        <f t="shared" si="29"/>
        <v>0</v>
      </c>
    </row>
    <row r="299" spans="1:32" x14ac:dyDescent="0.25">
      <c r="A299" s="6">
        <f>[1]Items!$A285</f>
        <v>0</v>
      </c>
      <c r="B299" s="16">
        <f>[1]Items!B285</f>
        <v>0</v>
      </c>
      <c r="C299" s="16">
        <f>[1]Items!C285</f>
        <v>0</v>
      </c>
      <c r="D299" s="16">
        <f>[1]Items!D285</f>
        <v>0</v>
      </c>
      <c r="E299" s="16">
        <f>[1]Items!E285</f>
        <v>0</v>
      </c>
      <c r="F299" s="16">
        <f>[1]Items!F285</f>
        <v>0</v>
      </c>
      <c r="G299" s="16">
        <f>[1]Items!G285</f>
        <v>0</v>
      </c>
      <c r="H299" s="16">
        <f>[1]Items!H285</f>
        <v>0</v>
      </c>
      <c r="I299" s="16">
        <f>[1]Items!I285</f>
        <v>0</v>
      </c>
      <c r="J299" s="16">
        <f>[1]Items!J285</f>
        <v>0</v>
      </c>
      <c r="K299" s="16">
        <f>[1]Items!K285</f>
        <v>0</v>
      </c>
      <c r="L299" s="16">
        <f>[1]Items!L285</f>
        <v>0</v>
      </c>
      <c r="M299" s="16">
        <f>[1]Items!M285</f>
        <v>0</v>
      </c>
      <c r="N299" s="16">
        <f>[1]Items!N285</f>
        <v>0</v>
      </c>
      <c r="O299" s="16">
        <f>[1]Items!O285</f>
        <v>0</v>
      </c>
      <c r="P299" s="16">
        <f>[1]Items!P285</f>
        <v>0</v>
      </c>
      <c r="Q299" s="16">
        <f>[1]Items!Q285</f>
        <v>0</v>
      </c>
      <c r="R299" s="16">
        <f>[1]Items!R285</f>
        <v>0</v>
      </c>
      <c r="S299" s="16">
        <f>[1]Items!S285</f>
        <v>0</v>
      </c>
      <c r="W299">
        <f>IF('Dota 2'!$C$6, (Items!C299+Items!E299)*Items!$X$2, (Items!C299+Items!D299)*Items!$X$2)</f>
        <v>0</v>
      </c>
      <c r="X299">
        <f t="shared" si="24"/>
        <v>0</v>
      </c>
      <c r="Y299">
        <f t="shared" si="25"/>
        <v>0</v>
      </c>
      <c r="Z299">
        <f t="shared" si="26"/>
        <v>0</v>
      </c>
      <c r="AA299">
        <f t="shared" si="27"/>
        <v>0</v>
      </c>
      <c r="AB299">
        <f>('Dota 2'!$H$10/$Z$4) * (1-($Y$9*($AA$2+J299))/($Y$7+$Y$9*ABS($AA$2+J299)) - $Z$4)</f>
        <v>0</v>
      </c>
      <c r="AC299">
        <f>IF('Dota 2'!$C$6, K299*M299*(1-$Z$3)*'Dota 2'!$H$8, K299*L299*(1-$Z$3)*'Dota 2'!$H$8)</f>
        <v>0</v>
      </c>
      <c r="AD299">
        <f>N299*O299*'Dota 2'!$H$10</f>
        <v>0</v>
      </c>
      <c r="AE299" s="2">
        <f t="shared" si="28"/>
        <v>0</v>
      </c>
      <c r="AF299" s="17">
        <f t="shared" si="29"/>
        <v>0</v>
      </c>
    </row>
    <row r="300" spans="1:32" x14ac:dyDescent="0.25">
      <c r="A300" s="6">
        <f>[1]Items!$A286</f>
        <v>0</v>
      </c>
      <c r="B300" s="16">
        <f>[1]Items!B286</f>
        <v>0</v>
      </c>
      <c r="C300" s="16">
        <f>[1]Items!C286</f>
        <v>0</v>
      </c>
      <c r="D300" s="16">
        <f>[1]Items!D286</f>
        <v>0</v>
      </c>
      <c r="E300" s="16">
        <f>[1]Items!E286</f>
        <v>0</v>
      </c>
      <c r="F300" s="16">
        <f>[1]Items!F286</f>
        <v>0</v>
      </c>
      <c r="G300" s="16">
        <f>[1]Items!G286</f>
        <v>0</v>
      </c>
      <c r="H300" s="16">
        <f>[1]Items!H286</f>
        <v>0</v>
      </c>
      <c r="I300" s="16">
        <f>[1]Items!I286</f>
        <v>0</v>
      </c>
      <c r="J300" s="16">
        <f>[1]Items!J286</f>
        <v>0</v>
      </c>
      <c r="K300" s="16">
        <f>[1]Items!K286</f>
        <v>0</v>
      </c>
      <c r="L300" s="16">
        <f>[1]Items!L286</f>
        <v>0</v>
      </c>
      <c r="M300" s="16">
        <f>[1]Items!M286</f>
        <v>0</v>
      </c>
      <c r="N300" s="16">
        <f>[1]Items!N286</f>
        <v>0</v>
      </c>
      <c r="O300" s="16">
        <f>[1]Items!O286</f>
        <v>0</v>
      </c>
      <c r="P300" s="16">
        <f>[1]Items!P286</f>
        <v>0</v>
      </c>
      <c r="Q300" s="16">
        <f>[1]Items!Q286</f>
        <v>0</v>
      </c>
      <c r="R300" s="16">
        <f>[1]Items!R286</f>
        <v>0</v>
      </c>
      <c r="S300" s="16">
        <f>[1]Items!S286</f>
        <v>0</v>
      </c>
      <c r="W300">
        <f>IF('Dota 2'!$C$6, (Items!C300+Items!E300)*Items!$X$2, (Items!C300+Items!D300)*Items!$X$2)</f>
        <v>0</v>
      </c>
      <c r="X300">
        <f t="shared" si="24"/>
        <v>0</v>
      </c>
      <c r="Y300">
        <f t="shared" si="25"/>
        <v>0</v>
      </c>
      <c r="Z300">
        <f t="shared" si="26"/>
        <v>0</v>
      </c>
      <c r="AA300">
        <f t="shared" si="27"/>
        <v>0</v>
      </c>
      <c r="AB300">
        <f>('Dota 2'!$H$10/$Z$4) * (1-($Y$9*($AA$2+J300))/($Y$7+$Y$9*ABS($AA$2+J300)) - $Z$4)</f>
        <v>0</v>
      </c>
      <c r="AC300">
        <f>IF('Dota 2'!$C$6, K300*M300*(1-$Z$3)*'Dota 2'!$H$8, K300*L300*(1-$Z$3)*'Dota 2'!$H$8)</f>
        <v>0</v>
      </c>
      <c r="AD300">
        <f>N300*O300*'Dota 2'!$H$10</f>
        <v>0</v>
      </c>
      <c r="AE300" s="2">
        <f t="shared" si="28"/>
        <v>0</v>
      </c>
      <c r="AF300" s="17">
        <f t="shared" si="29"/>
        <v>0</v>
      </c>
    </row>
    <row r="301" spans="1:32" x14ac:dyDescent="0.25">
      <c r="A301" s="6">
        <f>[1]Items!$A287</f>
        <v>0</v>
      </c>
      <c r="B301" s="16">
        <f>[1]Items!B287</f>
        <v>0</v>
      </c>
      <c r="C301" s="16">
        <f>[1]Items!C287</f>
        <v>0</v>
      </c>
      <c r="D301" s="16">
        <f>[1]Items!D287</f>
        <v>0</v>
      </c>
      <c r="E301" s="16">
        <f>[1]Items!E287</f>
        <v>0</v>
      </c>
      <c r="F301" s="16">
        <f>[1]Items!F287</f>
        <v>0</v>
      </c>
      <c r="G301" s="16">
        <f>[1]Items!G287</f>
        <v>0</v>
      </c>
      <c r="H301" s="16">
        <f>[1]Items!H287</f>
        <v>0</v>
      </c>
      <c r="I301" s="16">
        <f>[1]Items!I287</f>
        <v>0</v>
      </c>
      <c r="J301" s="16">
        <f>[1]Items!J287</f>
        <v>0</v>
      </c>
      <c r="K301" s="16">
        <f>[1]Items!K287</f>
        <v>0</v>
      </c>
      <c r="L301" s="16">
        <f>[1]Items!L287</f>
        <v>0</v>
      </c>
      <c r="M301" s="16">
        <f>[1]Items!M287</f>
        <v>0</v>
      </c>
      <c r="N301" s="16">
        <f>[1]Items!N287</f>
        <v>0</v>
      </c>
      <c r="O301" s="16">
        <f>[1]Items!O287</f>
        <v>0</v>
      </c>
      <c r="P301" s="16">
        <f>[1]Items!P287</f>
        <v>0</v>
      </c>
      <c r="Q301" s="16">
        <f>[1]Items!Q287</f>
        <v>0</v>
      </c>
      <c r="R301" s="16">
        <f>[1]Items!R287</f>
        <v>0</v>
      </c>
      <c r="S301" s="16">
        <f>[1]Items!S287</f>
        <v>0</v>
      </c>
      <c r="W301">
        <f>IF('Dota 2'!$C$6, (Items!C301+Items!E301)*Items!$X$2, (Items!C301+Items!D301)*Items!$X$2)</f>
        <v>0</v>
      </c>
      <c r="X301">
        <f t="shared" si="24"/>
        <v>0</v>
      </c>
      <c r="Y301">
        <f t="shared" si="25"/>
        <v>0</v>
      </c>
      <c r="Z301">
        <f t="shared" si="26"/>
        <v>0</v>
      </c>
      <c r="AA301">
        <f t="shared" si="27"/>
        <v>0</v>
      </c>
      <c r="AB301">
        <f>('Dota 2'!$H$10/$Z$4) * (1-($Y$9*($AA$2+J301))/($Y$7+$Y$9*ABS($AA$2+J301)) - $Z$4)</f>
        <v>0</v>
      </c>
      <c r="AC301">
        <f>IF('Dota 2'!$C$6, K301*M301*(1-$Z$3)*'Dota 2'!$H$8, K301*L301*(1-$Z$3)*'Dota 2'!$H$8)</f>
        <v>0</v>
      </c>
      <c r="AD301">
        <f>N301*O301*'Dota 2'!$H$10</f>
        <v>0</v>
      </c>
      <c r="AE301" s="2">
        <f t="shared" si="28"/>
        <v>0</v>
      </c>
      <c r="AF301" s="17">
        <f t="shared" si="29"/>
        <v>0</v>
      </c>
    </row>
    <row r="302" spans="1:32" x14ac:dyDescent="0.25">
      <c r="A302" s="6">
        <f>[1]Items!$A288</f>
        <v>0</v>
      </c>
      <c r="B302" s="16">
        <f>[1]Items!B288</f>
        <v>0</v>
      </c>
      <c r="C302" s="16">
        <f>[1]Items!C288</f>
        <v>0</v>
      </c>
      <c r="D302" s="16">
        <f>[1]Items!D288</f>
        <v>0</v>
      </c>
      <c r="E302" s="16">
        <f>[1]Items!E288</f>
        <v>0</v>
      </c>
      <c r="F302" s="16">
        <f>[1]Items!F288</f>
        <v>0</v>
      </c>
      <c r="G302" s="16">
        <f>[1]Items!G288</f>
        <v>0</v>
      </c>
      <c r="H302" s="16">
        <f>[1]Items!H288</f>
        <v>0</v>
      </c>
      <c r="I302" s="16">
        <f>[1]Items!I288</f>
        <v>0</v>
      </c>
      <c r="J302" s="16">
        <f>[1]Items!J288</f>
        <v>0</v>
      </c>
      <c r="K302" s="16">
        <f>[1]Items!K288</f>
        <v>0</v>
      </c>
      <c r="L302" s="16">
        <f>[1]Items!L288</f>
        <v>0</v>
      </c>
      <c r="M302" s="16">
        <f>[1]Items!M288</f>
        <v>0</v>
      </c>
      <c r="N302" s="16">
        <f>[1]Items!N288</f>
        <v>0</v>
      </c>
      <c r="O302" s="16">
        <f>[1]Items!O288</f>
        <v>0</v>
      </c>
      <c r="P302" s="16">
        <f>[1]Items!P288</f>
        <v>0</v>
      </c>
      <c r="Q302" s="16">
        <f>[1]Items!Q288</f>
        <v>0</v>
      </c>
      <c r="R302" s="16">
        <f>[1]Items!R288</f>
        <v>0</v>
      </c>
      <c r="S302" s="16">
        <f>[1]Items!S288</f>
        <v>0</v>
      </c>
      <c r="W302">
        <f>IF('Dota 2'!$C$6, (Items!C302+Items!E302)*Items!$X$2, (Items!C302+Items!D302)*Items!$X$2)</f>
        <v>0</v>
      </c>
      <c r="X302">
        <f t="shared" si="24"/>
        <v>0</v>
      </c>
      <c r="Y302">
        <f t="shared" si="25"/>
        <v>0</v>
      </c>
      <c r="Z302">
        <f t="shared" si="26"/>
        <v>0</v>
      </c>
      <c r="AA302">
        <f t="shared" si="27"/>
        <v>0</v>
      </c>
      <c r="AB302">
        <f>('Dota 2'!$H$10/$Z$4) * (1-($Y$9*($AA$2+J302))/($Y$7+$Y$9*ABS($AA$2+J302)) - $Z$4)</f>
        <v>0</v>
      </c>
      <c r="AC302">
        <f>IF('Dota 2'!$C$6, K302*M302*(1-$Z$3)*'Dota 2'!$H$8, K302*L302*(1-$Z$3)*'Dota 2'!$H$8)</f>
        <v>0</v>
      </c>
      <c r="AD302">
        <f>N302*O302*'Dota 2'!$H$10</f>
        <v>0</v>
      </c>
      <c r="AE302" s="2">
        <f t="shared" si="28"/>
        <v>0</v>
      </c>
      <c r="AF302" s="17">
        <f t="shared" si="29"/>
        <v>0</v>
      </c>
    </row>
    <row r="303" spans="1:32" x14ac:dyDescent="0.25">
      <c r="A303" s="6">
        <f>[1]Items!$A289</f>
        <v>0</v>
      </c>
      <c r="B303" s="16">
        <f>[1]Items!B289</f>
        <v>0</v>
      </c>
      <c r="C303" s="16">
        <f>[1]Items!C289</f>
        <v>0</v>
      </c>
      <c r="D303" s="16">
        <f>[1]Items!D289</f>
        <v>0</v>
      </c>
      <c r="E303" s="16">
        <f>[1]Items!E289</f>
        <v>0</v>
      </c>
      <c r="F303" s="16">
        <f>[1]Items!F289</f>
        <v>0</v>
      </c>
      <c r="G303" s="16">
        <f>[1]Items!G289</f>
        <v>0</v>
      </c>
      <c r="H303" s="16">
        <f>[1]Items!H289</f>
        <v>0</v>
      </c>
      <c r="I303" s="16">
        <f>[1]Items!I289</f>
        <v>0</v>
      </c>
      <c r="J303" s="16">
        <f>[1]Items!J289</f>
        <v>0</v>
      </c>
      <c r="K303" s="16">
        <f>[1]Items!K289</f>
        <v>0</v>
      </c>
      <c r="L303" s="16">
        <f>[1]Items!L289</f>
        <v>0</v>
      </c>
      <c r="M303" s="16">
        <f>[1]Items!M289</f>
        <v>0</v>
      </c>
      <c r="N303" s="16">
        <f>[1]Items!N289</f>
        <v>0</v>
      </c>
      <c r="O303" s="16">
        <f>[1]Items!O289</f>
        <v>0</v>
      </c>
      <c r="P303" s="16">
        <f>[1]Items!P289</f>
        <v>0</v>
      </c>
      <c r="Q303" s="16">
        <f>[1]Items!Q289</f>
        <v>0</v>
      </c>
      <c r="R303" s="16">
        <f>[1]Items!R289</f>
        <v>0</v>
      </c>
      <c r="S303" s="16">
        <f>[1]Items!S289</f>
        <v>0</v>
      </c>
      <c r="W303">
        <f>IF('Dota 2'!$C$6, (Items!C303+Items!E303)*Items!$X$2, (Items!C303+Items!D303)*Items!$X$2)</f>
        <v>0</v>
      </c>
      <c r="X303">
        <f t="shared" si="24"/>
        <v>0</v>
      </c>
      <c r="Y303">
        <f t="shared" si="25"/>
        <v>0</v>
      </c>
      <c r="Z303">
        <f t="shared" si="26"/>
        <v>0</v>
      </c>
      <c r="AA303">
        <f t="shared" si="27"/>
        <v>0</v>
      </c>
      <c r="AB303">
        <f>('Dota 2'!$H$10/$Z$4) * (1-($Y$9*($AA$2+J303))/($Y$7+$Y$9*ABS($AA$2+J303)) - $Z$4)</f>
        <v>0</v>
      </c>
      <c r="AC303">
        <f>IF('Dota 2'!$C$6, K303*M303*(1-$Z$3)*'Dota 2'!$H$8, K303*L303*(1-$Z$3)*'Dota 2'!$H$8)</f>
        <v>0</v>
      </c>
      <c r="AD303">
        <f>N303*O303*'Dota 2'!$H$10</f>
        <v>0</v>
      </c>
      <c r="AE303" s="2">
        <f t="shared" si="28"/>
        <v>0</v>
      </c>
      <c r="AF303" s="17">
        <f t="shared" si="29"/>
        <v>0</v>
      </c>
    </row>
    <row r="304" spans="1:32" x14ac:dyDescent="0.25">
      <c r="A304" s="6">
        <f>[1]Items!$A290</f>
        <v>0</v>
      </c>
      <c r="B304" s="16">
        <f>[1]Items!B290</f>
        <v>0</v>
      </c>
      <c r="C304" s="16">
        <f>[1]Items!C290</f>
        <v>0</v>
      </c>
      <c r="D304" s="16">
        <f>[1]Items!D290</f>
        <v>0</v>
      </c>
      <c r="E304" s="16">
        <f>[1]Items!E290</f>
        <v>0</v>
      </c>
      <c r="F304" s="16">
        <f>[1]Items!F290</f>
        <v>0</v>
      </c>
      <c r="G304" s="16">
        <f>[1]Items!G290</f>
        <v>0</v>
      </c>
      <c r="H304" s="16">
        <f>[1]Items!H290</f>
        <v>0</v>
      </c>
      <c r="I304" s="16">
        <f>[1]Items!I290</f>
        <v>0</v>
      </c>
      <c r="J304" s="16">
        <f>[1]Items!J290</f>
        <v>0</v>
      </c>
      <c r="K304" s="16">
        <f>[1]Items!K290</f>
        <v>0</v>
      </c>
      <c r="L304" s="16">
        <f>[1]Items!L290</f>
        <v>0</v>
      </c>
      <c r="M304" s="16">
        <f>[1]Items!M290</f>
        <v>0</v>
      </c>
      <c r="N304" s="16">
        <f>[1]Items!N290</f>
        <v>0</v>
      </c>
      <c r="O304" s="16">
        <f>[1]Items!O290</f>
        <v>0</v>
      </c>
      <c r="P304" s="16">
        <f>[1]Items!P290</f>
        <v>0</v>
      </c>
      <c r="Q304" s="16">
        <f>[1]Items!Q290</f>
        <v>0</v>
      </c>
      <c r="R304" s="16">
        <f>[1]Items!R290</f>
        <v>0</v>
      </c>
      <c r="S304" s="16">
        <f>[1]Items!S290</f>
        <v>0</v>
      </c>
      <c r="W304">
        <f>IF('Dota 2'!$C$6, (Items!C304+Items!E304)*Items!$X$2, (Items!C304+Items!D304)*Items!$X$2)</f>
        <v>0</v>
      </c>
      <c r="X304">
        <f t="shared" si="24"/>
        <v>0</v>
      </c>
      <c r="Y304">
        <f t="shared" si="25"/>
        <v>0</v>
      </c>
      <c r="Z304">
        <f t="shared" si="26"/>
        <v>0</v>
      </c>
      <c r="AA304">
        <f t="shared" si="27"/>
        <v>0</v>
      </c>
      <c r="AB304">
        <f>('Dota 2'!$H$10/$Z$4) * (1-($Y$9*($AA$2+J304))/($Y$7+$Y$9*ABS($AA$2+J304)) - $Z$4)</f>
        <v>0</v>
      </c>
      <c r="AC304">
        <f>IF('Dota 2'!$C$6, K304*M304*(1-$Z$3)*'Dota 2'!$H$8, K304*L304*(1-$Z$3)*'Dota 2'!$H$8)</f>
        <v>0</v>
      </c>
      <c r="AD304">
        <f>N304*O304*'Dota 2'!$H$10</f>
        <v>0</v>
      </c>
      <c r="AE304" s="2">
        <f t="shared" si="28"/>
        <v>0</v>
      </c>
      <c r="AF304" s="17">
        <f t="shared" si="29"/>
        <v>0</v>
      </c>
    </row>
    <row r="305" spans="1:32" x14ac:dyDescent="0.25">
      <c r="A305" s="6">
        <f>[1]Items!$A291</f>
        <v>0</v>
      </c>
      <c r="B305" s="16">
        <f>[1]Items!B291</f>
        <v>0</v>
      </c>
      <c r="C305" s="16">
        <f>[1]Items!C291</f>
        <v>0</v>
      </c>
      <c r="D305" s="16">
        <f>[1]Items!D291</f>
        <v>0</v>
      </c>
      <c r="E305" s="16">
        <f>[1]Items!E291</f>
        <v>0</v>
      </c>
      <c r="F305" s="16">
        <f>[1]Items!F291</f>
        <v>0</v>
      </c>
      <c r="G305" s="16">
        <f>[1]Items!G291</f>
        <v>0</v>
      </c>
      <c r="H305" s="16">
        <f>[1]Items!H291</f>
        <v>0</v>
      </c>
      <c r="I305" s="16">
        <f>[1]Items!I291</f>
        <v>0</v>
      </c>
      <c r="J305" s="16">
        <f>[1]Items!J291</f>
        <v>0</v>
      </c>
      <c r="K305" s="16">
        <f>[1]Items!K291</f>
        <v>0</v>
      </c>
      <c r="L305" s="16">
        <f>[1]Items!L291</f>
        <v>0</v>
      </c>
      <c r="M305" s="16">
        <f>[1]Items!M291</f>
        <v>0</v>
      </c>
      <c r="N305" s="16">
        <f>[1]Items!N291</f>
        <v>0</v>
      </c>
      <c r="O305" s="16">
        <f>[1]Items!O291</f>
        <v>0</v>
      </c>
      <c r="P305" s="16">
        <f>[1]Items!P291</f>
        <v>0</v>
      </c>
      <c r="Q305" s="16">
        <f>[1]Items!Q291</f>
        <v>0</v>
      </c>
      <c r="R305" s="16">
        <f>[1]Items!R291</f>
        <v>0</v>
      </c>
      <c r="S305" s="16">
        <f>[1]Items!S291</f>
        <v>0</v>
      </c>
      <c r="W305">
        <f>IF('Dota 2'!$C$6, (Items!C305+Items!E305)*Items!$X$2, (Items!C305+Items!D305)*Items!$X$2)</f>
        <v>0</v>
      </c>
      <c r="X305">
        <f t="shared" si="24"/>
        <v>0</v>
      </c>
      <c r="Y305">
        <f t="shared" si="25"/>
        <v>0</v>
      </c>
      <c r="Z305">
        <f t="shared" si="26"/>
        <v>0</v>
      </c>
      <c r="AA305">
        <f t="shared" si="27"/>
        <v>0</v>
      </c>
      <c r="AB305">
        <f>('Dota 2'!$H$10/$Z$4) * (1-($Y$9*($AA$2+J305))/($Y$7+$Y$9*ABS($AA$2+J305)) - $Z$4)</f>
        <v>0</v>
      </c>
      <c r="AC305">
        <f>IF('Dota 2'!$C$6, K305*M305*(1-$Z$3)*'Dota 2'!$H$8, K305*L305*(1-$Z$3)*'Dota 2'!$H$8)</f>
        <v>0</v>
      </c>
      <c r="AD305">
        <f>N305*O305*'Dota 2'!$H$10</f>
        <v>0</v>
      </c>
      <c r="AE305" s="2">
        <f t="shared" si="28"/>
        <v>0</v>
      </c>
      <c r="AF305" s="17">
        <f t="shared" si="29"/>
        <v>0</v>
      </c>
    </row>
    <row r="306" spans="1:32" x14ac:dyDescent="0.25">
      <c r="A306" s="6">
        <f>[1]Items!$A292</f>
        <v>0</v>
      </c>
      <c r="B306" s="16">
        <f>[1]Items!B292</f>
        <v>0</v>
      </c>
      <c r="C306" s="16">
        <f>[1]Items!C292</f>
        <v>0</v>
      </c>
      <c r="D306" s="16">
        <f>[1]Items!D292</f>
        <v>0</v>
      </c>
      <c r="E306" s="16">
        <f>[1]Items!E292</f>
        <v>0</v>
      </c>
      <c r="F306" s="16">
        <f>[1]Items!F292</f>
        <v>0</v>
      </c>
      <c r="G306" s="16">
        <f>[1]Items!G292</f>
        <v>0</v>
      </c>
      <c r="H306" s="16">
        <f>[1]Items!H292</f>
        <v>0</v>
      </c>
      <c r="I306" s="16">
        <f>[1]Items!I292</f>
        <v>0</v>
      </c>
      <c r="J306" s="16">
        <f>[1]Items!J292</f>
        <v>0</v>
      </c>
      <c r="K306" s="16">
        <f>[1]Items!K292</f>
        <v>0</v>
      </c>
      <c r="L306" s="16">
        <f>[1]Items!L292</f>
        <v>0</v>
      </c>
      <c r="M306" s="16">
        <f>[1]Items!M292</f>
        <v>0</v>
      </c>
      <c r="N306" s="16">
        <f>[1]Items!N292</f>
        <v>0</v>
      </c>
      <c r="O306" s="16">
        <f>[1]Items!O292</f>
        <v>0</v>
      </c>
      <c r="P306" s="16">
        <f>[1]Items!P292</f>
        <v>0</v>
      </c>
      <c r="Q306" s="16">
        <f>[1]Items!Q292</f>
        <v>0</v>
      </c>
      <c r="R306" s="16">
        <f>[1]Items!R292</f>
        <v>0</v>
      </c>
      <c r="S306" s="16">
        <f>[1]Items!S292</f>
        <v>0</v>
      </c>
      <c r="W306">
        <f>IF('Dota 2'!$C$6, (Items!C306+Items!E306)*Items!$X$2, (Items!C306+Items!D306)*Items!$X$2)</f>
        <v>0</v>
      </c>
      <c r="X306">
        <f t="shared" si="24"/>
        <v>0</v>
      </c>
      <c r="Y306">
        <f t="shared" si="25"/>
        <v>0</v>
      </c>
      <c r="Z306">
        <f t="shared" si="26"/>
        <v>0</v>
      </c>
      <c r="AA306">
        <f t="shared" si="27"/>
        <v>0</v>
      </c>
      <c r="AB306">
        <f>('Dota 2'!$H$10/$Z$4) * (1-($Y$9*($AA$2+J306))/($Y$7+$Y$9*ABS($AA$2+J306)) - $Z$4)</f>
        <v>0</v>
      </c>
      <c r="AC306">
        <f>IF('Dota 2'!$C$6, K306*M306*(1-$Z$3)*'Dota 2'!$H$8, K306*L306*(1-$Z$3)*'Dota 2'!$H$8)</f>
        <v>0</v>
      </c>
      <c r="AD306">
        <f>N306*O306*'Dota 2'!$H$10</f>
        <v>0</v>
      </c>
      <c r="AE306" s="2">
        <f t="shared" si="28"/>
        <v>0</v>
      </c>
      <c r="AF306" s="17">
        <f t="shared" si="29"/>
        <v>0</v>
      </c>
    </row>
    <row r="307" spans="1:32" x14ac:dyDescent="0.25">
      <c r="A307" s="6">
        <f>[1]Items!$A293</f>
        <v>0</v>
      </c>
      <c r="B307" s="16">
        <f>[1]Items!B293</f>
        <v>0</v>
      </c>
      <c r="C307" s="16">
        <f>[1]Items!C293</f>
        <v>0</v>
      </c>
      <c r="D307" s="16">
        <f>[1]Items!D293</f>
        <v>0</v>
      </c>
      <c r="E307" s="16">
        <f>[1]Items!E293</f>
        <v>0</v>
      </c>
      <c r="F307" s="16">
        <f>[1]Items!F293</f>
        <v>0</v>
      </c>
      <c r="G307" s="16">
        <f>[1]Items!G293</f>
        <v>0</v>
      </c>
      <c r="H307" s="16">
        <f>[1]Items!H293</f>
        <v>0</v>
      </c>
      <c r="I307" s="16">
        <f>[1]Items!I293</f>
        <v>0</v>
      </c>
      <c r="J307" s="16">
        <f>[1]Items!J293</f>
        <v>0</v>
      </c>
      <c r="K307" s="16">
        <f>[1]Items!K293</f>
        <v>0</v>
      </c>
      <c r="L307" s="16">
        <f>[1]Items!L293</f>
        <v>0</v>
      </c>
      <c r="M307" s="16">
        <f>[1]Items!M293</f>
        <v>0</v>
      </c>
      <c r="N307" s="16">
        <f>[1]Items!N293</f>
        <v>0</v>
      </c>
      <c r="O307" s="16">
        <f>[1]Items!O293</f>
        <v>0</v>
      </c>
      <c r="P307" s="16">
        <f>[1]Items!P293</f>
        <v>0</v>
      </c>
      <c r="Q307" s="16">
        <f>[1]Items!Q293</f>
        <v>0</v>
      </c>
      <c r="R307" s="16">
        <f>[1]Items!R293</f>
        <v>0</v>
      </c>
      <c r="S307" s="16">
        <f>[1]Items!S293</f>
        <v>0</v>
      </c>
      <c r="W307">
        <f>IF('Dota 2'!$C$6, (Items!C307+Items!E307)*Items!$X$2, (Items!C307+Items!D307)*Items!$X$2)</f>
        <v>0</v>
      </c>
      <c r="X307">
        <f t="shared" si="24"/>
        <v>0</v>
      </c>
      <c r="Y307">
        <f t="shared" si="25"/>
        <v>0</v>
      </c>
      <c r="Z307">
        <f t="shared" si="26"/>
        <v>0</v>
      </c>
      <c r="AA307">
        <f t="shared" si="27"/>
        <v>0</v>
      </c>
      <c r="AB307">
        <f>('Dota 2'!$H$10/$Z$4) * (1-($Y$9*($AA$2+J307))/($Y$7+$Y$9*ABS($AA$2+J307)) - $Z$4)</f>
        <v>0</v>
      </c>
      <c r="AC307">
        <f>IF('Dota 2'!$C$6, K307*M307*(1-$Z$3)*'Dota 2'!$H$8, K307*L307*(1-$Z$3)*'Dota 2'!$H$8)</f>
        <v>0</v>
      </c>
      <c r="AD307">
        <f>N307*O307*'Dota 2'!$H$10</f>
        <v>0</v>
      </c>
      <c r="AE307" s="2">
        <f t="shared" si="28"/>
        <v>0</v>
      </c>
      <c r="AF307" s="17">
        <f t="shared" si="29"/>
        <v>0</v>
      </c>
    </row>
    <row r="308" spans="1:32" x14ac:dyDescent="0.25">
      <c r="A308" s="6">
        <f>[1]Items!$A294</f>
        <v>0</v>
      </c>
      <c r="B308" s="16">
        <f>[1]Items!B294</f>
        <v>0</v>
      </c>
      <c r="C308" s="16">
        <f>[1]Items!C294</f>
        <v>0</v>
      </c>
      <c r="D308" s="16">
        <f>[1]Items!D294</f>
        <v>0</v>
      </c>
      <c r="E308" s="16">
        <f>[1]Items!E294</f>
        <v>0</v>
      </c>
      <c r="F308" s="16">
        <f>[1]Items!F294</f>
        <v>0</v>
      </c>
      <c r="G308" s="16">
        <f>[1]Items!G294</f>
        <v>0</v>
      </c>
      <c r="H308" s="16">
        <f>[1]Items!H294</f>
        <v>0</v>
      </c>
      <c r="I308" s="16">
        <f>[1]Items!I294</f>
        <v>0</v>
      </c>
      <c r="J308" s="16">
        <f>[1]Items!J294</f>
        <v>0</v>
      </c>
      <c r="K308" s="16">
        <f>[1]Items!K294</f>
        <v>0</v>
      </c>
      <c r="L308" s="16">
        <f>[1]Items!L294</f>
        <v>0</v>
      </c>
      <c r="M308" s="16">
        <f>[1]Items!M294</f>
        <v>0</v>
      </c>
      <c r="N308" s="16">
        <f>[1]Items!N294</f>
        <v>0</v>
      </c>
      <c r="O308" s="16">
        <f>[1]Items!O294</f>
        <v>0</v>
      </c>
      <c r="P308" s="16">
        <f>[1]Items!P294</f>
        <v>0</v>
      </c>
      <c r="Q308" s="16">
        <f>[1]Items!Q294</f>
        <v>0</v>
      </c>
      <c r="R308" s="16">
        <f>[1]Items!R294</f>
        <v>0</v>
      </c>
      <c r="S308" s="16">
        <f>[1]Items!S294</f>
        <v>0</v>
      </c>
      <c r="W308">
        <f>IF('Dota 2'!$C$6, (Items!C308+Items!E308)*Items!$X$2, (Items!C308+Items!D308)*Items!$X$2)</f>
        <v>0</v>
      </c>
      <c r="X308">
        <f t="shared" si="24"/>
        <v>0</v>
      </c>
      <c r="Y308">
        <f t="shared" si="25"/>
        <v>0</v>
      </c>
      <c r="Z308">
        <f t="shared" si="26"/>
        <v>0</v>
      </c>
      <c r="AA308">
        <f t="shared" si="27"/>
        <v>0</v>
      </c>
      <c r="AB308">
        <f>('Dota 2'!$H$10/$Z$4) * (1-($Y$9*($AA$2+J308))/($Y$7+$Y$9*ABS($AA$2+J308)) - $Z$4)</f>
        <v>0</v>
      </c>
      <c r="AC308">
        <f>IF('Dota 2'!$C$6, K308*M308*(1-$Z$3)*'Dota 2'!$H$8, K308*L308*(1-$Z$3)*'Dota 2'!$H$8)</f>
        <v>0</v>
      </c>
      <c r="AD308">
        <f>N308*O308*'Dota 2'!$H$10</f>
        <v>0</v>
      </c>
      <c r="AE308" s="2">
        <f t="shared" si="28"/>
        <v>0</v>
      </c>
      <c r="AF308" s="17">
        <f t="shared" si="29"/>
        <v>0</v>
      </c>
    </row>
    <row r="309" spans="1:32" x14ac:dyDescent="0.25">
      <c r="A309" s="6">
        <f>[1]Items!$A295</f>
        <v>0</v>
      </c>
      <c r="B309" s="16">
        <f>[1]Items!B295</f>
        <v>0</v>
      </c>
      <c r="C309" s="16">
        <f>[1]Items!C295</f>
        <v>0</v>
      </c>
      <c r="D309" s="16">
        <f>[1]Items!D295</f>
        <v>0</v>
      </c>
      <c r="E309" s="16">
        <f>[1]Items!E295</f>
        <v>0</v>
      </c>
      <c r="F309" s="16">
        <f>[1]Items!F295</f>
        <v>0</v>
      </c>
      <c r="G309" s="16">
        <f>[1]Items!G295</f>
        <v>0</v>
      </c>
      <c r="H309" s="16">
        <f>[1]Items!H295</f>
        <v>0</v>
      </c>
      <c r="I309" s="16">
        <f>[1]Items!I295</f>
        <v>0</v>
      </c>
      <c r="J309" s="16">
        <f>[1]Items!J295</f>
        <v>0</v>
      </c>
      <c r="K309" s="16">
        <f>[1]Items!K295</f>
        <v>0</v>
      </c>
      <c r="L309" s="16">
        <f>[1]Items!L295</f>
        <v>0</v>
      </c>
      <c r="M309" s="16">
        <f>[1]Items!M295</f>
        <v>0</v>
      </c>
      <c r="N309" s="16">
        <f>[1]Items!N295</f>
        <v>0</v>
      </c>
      <c r="O309" s="16">
        <f>[1]Items!O295</f>
        <v>0</v>
      </c>
      <c r="P309" s="16">
        <f>[1]Items!P295</f>
        <v>0</v>
      </c>
      <c r="Q309" s="16">
        <f>[1]Items!Q295</f>
        <v>0</v>
      </c>
      <c r="R309" s="16">
        <f>[1]Items!R295</f>
        <v>0</v>
      </c>
      <c r="S309" s="16">
        <f>[1]Items!S295</f>
        <v>0</v>
      </c>
      <c r="W309">
        <f>IF('Dota 2'!$C$6, (Items!C309+Items!E309)*Items!$X$2, (Items!C309+Items!D309)*Items!$X$2)</f>
        <v>0</v>
      </c>
      <c r="X309">
        <f t="shared" si="24"/>
        <v>0</v>
      </c>
      <c r="Y309">
        <f t="shared" si="25"/>
        <v>0</v>
      </c>
      <c r="Z309">
        <f t="shared" si="26"/>
        <v>0</v>
      </c>
      <c r="AA309">
        <f t="shared" si="27"/>
        <v>0</v>
      </c>
      <c r="AB309">
        <f>('Dota 2'!$H$10/$Z$4) * (1-($Y$9*($AA$2+J309))/($Y$7+$Y$9*ABS($AA$2+J309)) - $Z$4)</f>
        <v>0</v>
      </c>
      <c r="AC309">
        <f>IF('Dota 2'!$C$6, K309*M309*(1-$Z$3)*'Dota 2'!$H$8, K309*L309*(1-$Z$3)*'Dota 2'!$H$8)</f>
        <v>0</v>
      </c>
      <c r="AD309">
        <f>N309*O309*'Dota 2'!$H$10</f>
        <v>0</v>
      </c>
      <c r="AE309" s="2">
        <f t="shared" si="28"/>
        <v>0</v>
      </c>
      <c r="AF309" s="17">
        <f t="shared" si="29"/>
        <v>0</v>
      </c>
    </row>
    <row r="310" spans="1:32" x14ac:dyDescent="0.25">
      <c r="A310" s="6">
        <f>[1]Items!$A296</f>
        <v>0</v>
      </c>
      <c r="B310" s="16">
        <f>[1]Items!B296</f>
        <v>0</v>
      </c>
      <c r="C310" s="16">
        <f>[1]Items!C296</f>
        <v>0</v>
      </c>
      <c r="D310" s="16">
        <f>[1]Items!D296</f>
        <v>0</v>
      </c>
      <c r="E310" s="16">
        <f>[1]Items!E296</f>
        <v>0</v>
      </c>
      <c r="F310" s="16">
        <f>[1]Items!F296</f>
        <v>0</v>
      </c>
      <c r="G310" s="16">
        <f>[1]Items!G296</f>
        <v>0</v>
      </c>
      <c r="H310" s="16">
        <f>[1]Items!H296</f>
        <v>0</v>
      </c>
      <c r="I310" s="16">
        <f>[1]Items!I296</f>
        <v>0</v>
      </c>
      <c r="J310" s="16">
        <f>[1]Items!J296</f>
        <v>0</v>
      </c>
      <c r="K310" s="16">
        <f>[1]Items!K296</f>
        <v>0</v>
      </c>
      <c r="L310" s="16">
        <f>[1]Items!L296</f>
        <v>0</v>
      </c>
      <c r="M310" s="16">
        <f>[1]Items!M296</f>
        <v>0</v>
      </c>
      <c r="N310" s="16">
        <f>[1]Items!N296</f>
        <v>0</v>
      </c>
      <c r="O310" s="16">
        <f>[1]Items!O296</f>
        <v>0</v>
      </c>
      <c r="P310" s="16">
        <f>[1]Items!P296</f>
        <v>0</v>
      </c>
      <c r="Q310" s="16">
        <f>[1]Items!Q296</f>
        <v>0</v>
      </c>
      <c r="R310" s="16">
        <f>[1]Items!R296</f>
        <v>0</v>
      </c>
      <c r="S310" s="16">
        <f>[1]Items!S296</f>
        <v>0</v>
      </c>
      <c r="W310">
        <f>IF('Dota 2'!$C$6, (Items!C310+Items!E310)*Items!$X$2, (Items!C310+Items!D310)*Items!$X$2)</f>
        <v>0</v>
      </c>
      <c r="X310">
        <f t="shared" si="24"/>
        <v>0</v>
      </c>
      <c r="Y310">
        <f t="shared" si="25"/>
        <v>0</v>
      </c>
      <c r="Z310">
        <f t="shared" si="26"/>
        <v>0</v>
      </c>
      <c r="AA310">
        <f t="shared" si="27"/>
        <v>0</v>
      </c>
      <c r="AB310">
        <f>('Dota 2'!$H$10/$Z$4) * (1-($Y$9*($AA$2+J310))/($Y$7+$Y$9*ABS($AA$2+J310)) - $Z$4)</f>
        <v>0</v>
      </c>
      <c r="AC310">
        <f>IF('Dota 2'!$C$6, K310*M310*(1-$Z$3)*'Dota 2'!$H$8, K310*L310*(1-$Z$3)*'Dota 2'!$H$8)</f>
        <v>0</v>
      </c>
      <c r="AD310">
        <f>N310*O310*'Dota 2'!$H$10</f>
        <v>0</v>
      </c>
      <c r="AE310" s="2">
        <f t="shared" si="28"/>
        <v>0</v>
      </c>
      <c r="AF310" s="17">
        <f t="shared" si="29"/>
        <v>0</v>
      </c>
    </row>
    <row r="311" spans="1:32" x14ac:dyDescent="0.25">
      <c r="A311" s="6">
        <f>[1]Items!$A297</f>
        <v>0</v>
      </c>
      <c r="B311" s="16">
        <f>[1]Items!B297</f>
        <v>0</v>
      </c>
      <c r="C311" s="16">
        <f>[1]Items!C297</f>
        <v>0</v>
      </c>
      <c r="D311" s="16">
        <f>[1]Items!D297</f>
        <v>0</v>
      </c>
      <c r="E311" s="16">
        <f>[1]Items!E297</f>
        <v>0</v>
      </c>
      <c r="F311" s="16">
        <f>[1]Items!F297</f>
        <v>0</v>
      </c>
      <c r="G311" s="16">
        <f>[1]Items!G297</f>
        <v>0</v>
      </c>
      <c r="H311" s="16">
        <f>[1]Items!H297</f>
        <v>0</v>
      </c>
      <c r="I311" s="16">
        <f>[1]Items!I297</f>
        <v>0</v>
      </c>
      <c r="J311" s="16">
        <f>[1]Items!J297</f>
        <v>0</v>
      </c>
      <c r="K311" s="16">
        <f>[1]Items!K297</f>
        <v>0</v>
      </c>
      <c r="L311" s="16">
        <f>[1]Items!L297</f>
        <v>0</v>
      </c>
      <c r="M311" s="16">
        <f>[1]Items!M297</f>
        <v>0</v>
      </c>
      <c r="N311" s="16">
        <f>[1]Items!N297</f>
        <v>0</v>
      </c>
      <c r="O311" s="16">
        <f>[1]Items!O297</f>
        <v>0</v>
      </c>
      <c r="P311" s="16">
        <f>[1]Items!P297</f>
        <v>0</v>
      </c>
      <c r="Q311" s="16">
        <f>[1]Items!Q297</f>
        <v>0</v>
      </c>
      <c r="R311" s="16">
        <f>[1]Items!R297</f>
        <v>0</v>
      </c>
      <c r="S311" s="16">
        <f>[1]Items!S297</f>
        <v>0</v>
      </c>
      <c r="W311">
        <f>IF('Dota 2'!$C$6, (Items!C311+Items!E311)*Items!$X$2, (Items!C311+Items!D311)*Items!$X$2)</f>
        <v>0</v>
      </c>
      <c r="X311">
        <f t="shared" si="24"/>
        <v>0</v>
      </c>
      <c r="Y311">
        <f t="shared" si="25"/>
        <v>0</v>
      </c>
      <c r="Z311">
        <f t="shared" si="26"/>
        <v>0</v>
      </c>
      <c r="AA311">
        <f t="shared" si="27"/>
        <v>0</v>
      </c>
      <c r="AB311">
        <f>('Dota 2'!$H$10/$Z$4) * (1-($Y$9*($AA$2+J311))/($Y$7+$Y$9*ABS($AA$2+J311)) - $Z$4)</f>
        <v>0</v>
      </c>
      <c r="AC311">
        <f>IF('Dota 2'!$C$6, K311*M311*(1-$Z$3)*'Dota 2'!$H$8, K311*L311*(1-$Z$3)*'Dota 2'!$H$8)</f>
        <v>0</v>
      </c>
      <c r="AD311">
        <f>N311*O311*'Dota 2'!$H$10</f>
        <v>0</v>
      </c>
      <c r="AE311" s="2">
        <f t="shared" si="28"/>
        <v>0</v>
      </c>
      <c r="AF311" s="17">
        <f t="shared" si="29"/>
        <v>0</v>
      </c>
    </row>
    <row r="312" spans="1:32" x14ac:dyDescent="0.25">
      <c r="A312" s="6">
        <f>[1]Items!$A298</f>
        <v>0</v>
      </c>
      <c r="B312" s="16">
        <f>[1]Items!B298</f>
        <v>0</v>
      </c>
      <c r="C312" s="16">
        <f>[1]Items!C298</f>
        <v>0</v>
      </c>
      <c r="D312" s="16">
        <f>[1]Items!D298</f>
        <v>0</v>
      </c>
      <c r="E312" s="16">
        <f>[1]Items!E298</f>
        <v>0</v>
      </c>
      <c r="F312" s="16">
        <f>[1]Items!F298</f>
        <v>0</v>
      </c>
      <c r="G312" s="16">
        <f>[1]Items!G298</f>
        <v>0</v>
      </c>
      <c r="H312" s="16">
        <f>[1]Items!H298</f>
        <v>0</v>
      </c>
      <c r="I312" s="16">
        <f>[1]Items!I298</f>
        <v>0</v>
      </c>
      <c r="J312" s="16">
        <f>[1]Items!J298</f>
        <v>0</v>
      </c>
      <c r="K312" s="16">
        <f>[1]Items!K298</f>
        <v>0</v>
      </c>
      <c r="L312" s="16">
        <f>[1]Items!L298</f>
        <v>0</v>
      </c>
      <c r="M312" s="16">
        <f>[1]Items!M298</f>
        <v>0</v>
      </c>
      <c r="N312" s="16">
        <f>[1]Items!N298</f>
        <v>0</v>
      </c>
      <c r="O312" s="16">
        <f>[1]Items!O298</f>
        <v>0</v>
      </c>
      <c r="P312" s="16">
        <f>[1]Items!P298</f>
        <v>0</v>
      </c>
      <c r="Q312" s="16">
        <f>[1]Items!Q298</f>
        <v>0</v>
      </c>
      <c r="R312" s="16">
        <f>[1]Items!R298</f>
        <v>0</v>
      </c>
      <c r="S312" s="16">
        <f>[1]Items!S298</f>
        <v>0</v>
      </c>
      <c r="W312">
        <f>IF('Dota 2'!$C$6, (Items!C312+Items!E312)*Items!$X$2, (Items!C312+Items!D312)*Items!$X$2)</f>
        <v>0</v>
      </c>
      <c r="X312">
        <f t="shared" si="24"/>
        <v>0</v>
      </c>
      <c r="Y312">
        <f t="shared" si="25"/>
        <v>0</v>
      </c>
      <c r="Z312">
        <f t="shared" si="26"/>
        <v>0</v>
      </c>
      <c r="AA312">
        <f t="shared" si="27"/>
        <v>0</v>
      </c>
      <c r="AB312">
        <f>('Dota 2'!$H$10/$Z$4) * (1-($Y$9*($AA$2+J312))/($Y$7+$Y$9*ABS($AA$2+J312)) - $Z$4)</f>
        <v>0</v>
      </c>
      <c r="AC312">
        <f>IF('Dota 2'!$C$6, K312*M312*(1-$Z$3)*'Dota 2'!$H$8, K312*L312*(1-$Z$3)*'Dota 2'!$H$8)</f>
        <v>0</v>
      </c>
      <c r="AD312">
        <f>N312*O312*'Dota 2'!$H$10</f>
        <v>0</v>
      </c>
      <c r="AE312" s="2">
        <f t="shared" si="28"/>
        <v>0</v>
      </c>
      <c r="AF312" s="17">
        <f t="shared" si="29"/>
        <v>0</v>
      </c>
    </row>
    <row r="313" spans="1:32" x14ac:dyDescent="0.25">
      <c r="A313" s="6">
        <f>[1]Items!$A299</f>
        <v>0</v>
      </c>
      <c r="B313" s="16">
        <f>[1]Items!B299</f>
        <v>0</v>
      </c>
      <c r="C313" s="16">
        <f>[1]Items!C299</f>
        <v>0</v>
      </c>
      <c r="D313" s="16">
        <f>[1]Items!D299</f>
        <v>0</v>
      </c>
      <c r="E313" s="16">
        <f>[1]Items!E299</f>
        <v>0</v>
      </c>
      <c r="F313" s="16">
        <f>[1]Items!F299</f>
        <v>0</v>
      </c>
      <c r="G313" s="16">
        <f>[1]Items!G299</f>
        <v>0</v>
      </c>
      <c r="H313" s="16">
        <f>[1]Items!H299</f>
        <v>0</v>
      </c>
      <c r="I313" s="16">
        <f>[1]Items!I299</f>
        <v>0</v>
      </c>
      <c r="J313" s="16">
        <f>[1]Items!J299</f>
        <v>0</v>
      </c>
      <c r="K313" s="16">
        <f>[1]Items!K299</f>
        <v>0</v>
      </c>
      <c r="L313" s="16">
        <f>[1]Items!L299</f>
        <v>0</v>
      </c>
      <c r="M313" s="16">
        <f>[1]Items!M299</f>
        <v>0</v>
      </c>
      <c r="N313" s="16">
        <f>[1]Items!N299</f>
        <v>0</v>
      </c>
      <c r="O313" s="16">
        <f>[1]Items!O299</f>
        <v>0</v>
      </c>
      <c r="P313" s="16">
        <f>[1]Items!P299</f>
        <v>0</v>
      </c>
      <c r="Q313" s="16">
        <f>[1]Items!Q299</f>
        <v>0</v>
      </c>
      <c r="R313" s="16">
        <f>[1]Items!R299</f>
        <v>0</v>
      </c>
      <c r="S313" s="16">
        <f>[1]Items!S299</f>
        <v>0</v>
      </c>
      <c r="W313">
        <f>IF('Dota 2'!$C$6, (Items!C313+Items!E313)*Items!$X$2, (Items!C313+Items!D313)*Items!$X$2)</f>
        <v>0</v>
      </c>
      <c r="X313">
        <f t="shared" si="24"/>
        <v>0</v>
      </c>
      <c r="Y313">
        <f t="shared" si="25"/>
        <v>0</v>
      </c>
      <c r="Z313">
        <f t="shared" si="26"/>
        <v>0</v>
      </c>
      <c r="AA313">
        <f t="shared" si="27"/>
        <v>0</v>
      </c>
      <c r="AB313">
        <f>('Dota 2'!$H$10/$Z$4) * (1-($Y$9*($AA$2+J313))/($Y$7+$Y$9*ABS($AA$2+J313)) - $Z$4)</f>
        <v>0</v>
      </c>
      <c r="AC313">
        <f>IF('Dota 2'!$C$6, K313*M313*(1-$Z$3)*'Dota 2'!$H$8, K313*L313*(1-$Z$3)*'Dota 2'!$H$8)</f>
        <v>0</v>
      </c>
      <c r="AD313">
        <f>N313*O313*'Dota 2'!$H$10</f>
        <v>0</v>
      </c>
      <c r="AE313" s="2">
        <f t="shared" si="28"/>
        <v>0</v>
      </c>
      <c r="AF313" s="17">
        <f t="shared" si="29"/>
        <v>0</v>
      </c>
    </row>
    <row r="314" spans="1:32" x14ac:dyDescent="0.25">
      <c r="A314" s="6">
        <f>[1]Items!$A300</f>
        <v>0</v>
      </c>
      <c r="B314" s="16">
        <f>[1]Items!B300</f>
        <v>0</v>
      </c>
      <c r="C314" s="16">
        <f>[1]Items!C300</f>
        <v>0</v>
      </c>
      <c r="D314" s="16">
        <f>[1]Items!D300</f>
        <v>0</v>
      </c>
      <c r="E314" s="16">
        <f>[1]Items!E300</f>
        <v>0</v>
      </c>
      <c r="F314" s="16">
        <f>[1]Items!F300</f>
        <v>0</v>
      </c>
      <c r="G314" s="16">
        <f>[1]Items!G300</f>
        <v>0</v>
      </c>
      <c r="H314" s="16">
        <f>[1]Items!H300</f>
        <v>0</v>
      </c>
      <c r="I314" s="16">
        <f>[1]Items!I300</f>
        <v>0</v>
      </c>
      <c r="J314" s="16">
        <f>[1]Items!J300</f>
        <v>0</v>
      </c>
      <c r="K314" s="16">
        <f>[1]Items!K300</f>
        <v>0</v>
      </c>
      <c r="L314" s="16">
        <f>[1]Items!L300</f>
        <v>0</v>
      </c>
      <c r="M314" s="16">
        <f>[1]Items!M300</f>
        <v>0</v>
      </c>
      <c r="N314" s="16">
        <f>[1]Items!N300</f>
        <v>0</v>
      </c>
      <c r="O314" s="16">
        <f>[1]Items!O300</f>
        <v>0</v>
      </c>
      <c r="P314" s="16">
        <f>[1]Items!P300</f>
        <v>0</v>
      </c>
      <c r="Q314" s="16">
        <f>[1]Items!Q300</f>
        <v>0</v>
      </c>
      <c r="R314" s="16">
        <f>[1]Items!R300</f>
        <v>0</v>
      </c>
      <c r="S314" s="16">
        <f>[1]Items!S300</f>
        <v>0</v>
      </c>
      <c r="W314">
        <f>IF('Dota 2'!$C$6, (Items!C314+Items!E314)*Items!$X$2, (Items!C314+Items!D314)*Items!$X$2)</f>
        <v>0</v>
      </c>
      <c r="X314">
        <f t="shared" si="24"/>
        <v>0</v>
      </c>
      <c r="Y314">
        <f t="shared" si="25"/>
        <v>0</v>
      </c>
      <c r="Z314">
        <f t="shared" si="26"/>
        <v>0</v>
      </c>
      <c r="AA314">
        <f t="shared" si="27"/>
        <v>0</v>
      </c>
      <c r="AB314">
        <f>('Dota 2'!$H$10/$Z$4) * (1-($Y$9*($AA$2+J314))/($Y$7+$Y$9*ABS($AA$2+J314)) - $Z$4)</f>
        <v>0</v>
      </c>
      <c r="AC314">
        <f>IF('Dota 2'!$C$6, K314*M314*(1-$Z$3)*'Dota 2'!$H$8, K314*L314*(1-$Z$3)*'Dota 2'!$H$8)</f>
        <v>0</v>
      </c>
      <c r="AD314">
        <f>N314*O314*'Dota 2'!$H$10</f>
        <v>0</v>
      </c>
      <c r="AE314" s="2">
        <f t="shared" si="28"/>
        <v>0</v>
      </c>
      <c r="AF314" s="17">
        <f t="shared" si="29"/>
        <v>0</v>
      </c>
    </row>
    <row r="315" spans="1:32" x14ac:dyDescent="0.25">
      <c r="A315" s="6">
        <f>[1]Items!$A301</f>
        <v>0</v>
      </c>
      <c r="B315" s="16">
        <f>[1]Items!B301</f>
        <v>0</v>
      </c>
      <c r="C315" s="16">
        <f>[1]Items!C301</f>
        <v>0</v>
      </c>
      <c r="D315" s="16">
        <f>[1]Items!D301</f>
        <v>0</v>
      </c>
      <c r="E315" s="16">
        <f>[1]Items!E301</f>
        <v>0</v>
      </c>
      <c r="F315" s="16">
        <f>[1]Items!F301</f>
        <v>0</v>
      </c>
      <c r="G315" s="16">
        <f>[1]Items!G301</f>
        <v>0</v>
      </c>
      <c r="H315" s="16">
        <f>[1]Items!H301</f>
        <v>0</v>
      </c>
      <c r="I315" s="16">
        <f>[1]Items!I301</f>
        <v>0</v>
      </c>
      <c r="J315" s="16">
        <f>[1]Items!J301</f>
        <v>0</v>
      </c>
      <c r="K315" s="16">
        <f>[1]Items!K301</f>
        <v>0</v>
      </c>
      <c r="L315" s="16">
        <f>[1]Items!L301</f>
        <v>0</v>
      </c>
      <c r="M315" s="16">
        <f>[1]Items!M301</f>
        <v>0</v>
      </c>
      <c r="N315" s="16">
        <f>[1]Items!N301</f>
        <v>0</v>
      </c>
      <c r="O315" s="16">
        <f>[1]Items!O301</f>
        <v>0</v>
      </c>
      <c r="P315" s="16">
        <f>[1]Items!P301</f>
        <v>0</v>
      </c>
      <c r="Q315" s="16">
        <f>[1]Items!Q301</f>
        <v>0</v>
      </c>
      <c r="R315" s="16">
        <f>[1]Items!R301</f>
        <v>0</v>
      </c>
      <c r="S315" s="16">
        <f>[1]Items!S301</f>
        <v>0</v>
      </c>
      <c r="W315">
        <f>IF('Dota 2'!$C$6, (Items!C315+Items!E315)*Items!$X$2, (Items!C315+Items!D315)*Items!$X$2)</f>
        <v>0</v>
      </c>
      <c r="X315">
        <f t="shared" si="24"/>
        <v>0</v>
      </c>
      <c r="Y315">
        <f t="shared" si="25"/>
        <v>0</v>
      </c>
      <c r="Z315">
        <f t="shared" si="26"/>
        <v>0</v>
      </c>
      <c r="AA315">
        <f t="shared" si="27"/>
        <v>0</v>
      </c>
      <c r="AB315">
        <f>('Dota 2'!$H$10/$Z$4) * (1-($Y$9*($AA$2+J315))/($Y$7+$Y$9*ABS($AA$2+J315)) - $Z$4)</f>
        <v>0</v>
      </c>
      <c r="AC315">
        <f>IF('Dota 2'!$C$6, K315*M315*(1-$Z$3)*'Dota 2'!$H$8, K315*L315*(1-$Z$3)*'Dota 2'!$H$8)</f>
        <v>0</v>
      </c>
      <c r="AD315">
        <f>N315*O315*'Dota 2'!$H$10</f>
        <v>0</v>
      </c>
      <c r="AE315" s="2">
        <f t="shared" si="28"/>
        <v>0</v>
      </c>
      <c r="AF315" s="17">
        <f t="shared" si="29"/>
        <v>0</v>
      </c>
    </row>
    <row r="316" spans="1:32" x14ac:dyDescent="0.25">
      <c r="A316" s="6">
        <f>[1]Items!$A302</f>
        <v>0</v>
      </c>
      <c r="B316" s="16">
        <f>[1]Items!B302</f>
        <v>0</v>
      </c>
      <c r="C316" s="16">
        <f>[1]Items!C302</f>
        <v>0</v>
      </c>
      <c r="D316" s="16">
        <f>[1]Items!D302</f>
        <v>0</v>
      </c>
      <c r="E316" s="16">
        <f>[1]Items!E302</f>
        <v>0</v>
      </c>
      <c r="F316" s="16">
        <f>[1]Items!F302</f>
        <v>0</v>
      </c>
      <c r="G316" s="16">
        <f>[1]Items!G302</f>
        <v>0</v>
      </c>
      <c r="H316" s="16">
        <f>[1]Items!H302</f>
        <v>0</v>
      </c>
      <c r="I316" s="16">
        <f>[1]Items!I302</f>
        <v>0</v>
      </c>
      <c r="J316" s="16">
        <f>[1]Items!J302</f>
        <v>0</v>
      </c>
      <c r="K316" s="16">
        <f>[1]Items!K302</f>
        <v>0</v>
      </c>
      <c r="L316" s="16">
        <f>[1]Items!L302</f>
        <v>0</v>
      </c>
      <c r="M316" s="16">
        <f>[1]Items!M302</f>
        <v>0</v>
      </c>
      <c r="N316" s="16">
        <f>[1]Items!N302</f>
        <v>0</v>
      </c>
      <c r="O316" s="16">
        <f>[1]Items!O302</f>
        <v>0</v>
      </c>
      <c r="P316" s="16">
        <f>[1]Items!P302</f>
        <v>0</v>
      </c>
      <c r="Q316" s="16">
        <f>[1]Items!Q302</f>
        <v>0</v>
      </c>
      <c r="R316" s="16">
        <f>[1]Items!R302</f>
        <v>0</v>
      </c>
      <c r="S316" s="16">
        <f>[1]Items!S302</f>
        <v>0</v>
      </c>
      <c r="W316">
        <f>IF('Dota 2'!$C$6, (Items!C316+Items!E316)*Items!$X$2, (Items!C316+Items!D316)*Items!$X$2)</f>
        <v>0</v>
      </c>
      <c r="X316">
        <f t="shared" si="24"/>
        <v>0</v>
      </c>
      <c r="Y316">
        <f t="shared" si="25"/>
        <v>0</v>
      </c>
      <c r="Z316">
        <f t="shared" si="26"/>
        <v>0</v>
      </c>
      <c r="AA316">
        <f t="shared" si="27"/>
        <v>0</v>
      </c>
      <c r="AB316">
        <f>('Dota 2'!$H$10/$Z$4) * (1-($Y$9*($AA$2+J316))/($Y$7+$Y$9*ABS($AA$2+J316)) - $Z$4)</f>
        <v>0</v>
      </c>
      <c r="AC316">
        <f>IF('Dota 2'!$C$6, K316*M316*(1-$Z$3)*'Dota 2'!$H$8, K316*L316*(1-$Z$3)*'Dota 2'!$H$8)</f>
        <v>0</v>
      </c>
      <c r="AD316">
        <f>N316*O316*'Dota 2'!$H$10</f>
        <v>0</v>
      </c>
      <c r="AE316" s="2">
        <f t="shared" si="28"/>
        <v>0</v>
      </c>
      <c r="AF316" s="17">
        <f t="shared" si="29"/>
        <v>0</v>
      </c>
    </row>
    <row r="317" spans="1:32" x14ac:dyDescent="0.25">
      <c r="A317" s="6">
        <f>[1]Items!$A303</f>
        <v>0</v>
      </c>
      <c r="B317" s="16">
        <f>[1]Items!B303</f>
        <v>0</v>
      </c>
      <c r="C317" s="16">
        <f>[1]Items!C303</f>
        <v>0</v>
      </c>
      <c r="D317" s="16">
        <f>[1]Items!D303</f>
        <v>0</v>
      </c>
      <c r="E317" s="16">
        <f>[1]Items!E303</f>
        <v>0</v>
      </c>
      <c r="F317" s="16">
        <f>[1]Items!F303</f>
        <v>0</v>
      </c>
      <c r="G317" s="16">
        <f>[1]Items!G303</f>
        <v>0</v>
      </c>
      <c r="H317" s="16">
        <f>[1]Items!H303</f>
        <v>0</v>
      </c>
      <c r="I317" s="16">
        <f>[1]Items!I303</f>
        <v>0</v>
      </c>
      <c r="J317" s="16">
        <f>[1]Items!J303</f>
        <v>0</v>
      </c>
      <c r="K317" s="16">
        <f>[1]Items!K303</f>
        <v>0</v>
      </c>
      <c r="L317" s="16">
        <f>[1]Items!L303</f>
        <v>0</v>
      </c>
      <c r="M317" s="16">
        <f>[1]Items!M303</f>
        <v>0</v>
      </c>
      <c r="N317" s="16">
        <f>[1]Items!N303</f>
        <v>0</v>
      </c>
      <c r="O317" s="16">
        <f>[1]Items!O303</f>
        <v>0</v>
      </c>
      <c r="P317" s="16">
        <f>[1]Items!P303</f>
        <v>0</v>
      </c>
      <c r="Q317" s="16">
        <f>[1]Items!Q303</f>
        <v>0</v>
      </c>
      <c r="R317" s="16">
        <f>[1]Items!R303</f>
        <v>0</v>
      </c>
      <c r="S317" s="16">
        <f>[1]Items!S303</f>
        <v>0</v>
      </c>
      <c r="W317">
        <f>IF('Dota 2'!$C$6, (Items!C317+Items!E317)*Items!$X$2, (Items!C317+Items!D317)*Items!$X$2)</f>
        <v>0</v>
      </c>
      <c r="X317">
        <f t="shared" si="24"/>
        <v>0</v>
      </c>
      <c r="Y317">
        <f t="shared" si="25"/>
        <v>0</v>
      </c>
      <c r="Z317">
        <f t="shared" si="26"/>
        <v>0</v>
      </c>
      <c r="AA317">
        <f t="shared" si="27"/>
        <v>0</v>
      </c>
      <c r="AB317">
        <f>('Dota 2'!$H$10/$Z$4) * (1-($Y$9*($AA$2+J317))/($Y$7+$Y$9*ABS($AA$2+J317)) - $Z$4)</f>
        <v>0</v>
      </c>
      <c r="AC317">
        <f>IF('Dota 2'!$C$6, K317*M317*(1-$Z$3)*'Dota 2'!$H$8, K317*L317*(1-$Z$3)*'Dota 2'!$H$8)</f>
        <v>0</v>
      </c>
      <c r="AD317">
        <f>N317*O317*'Dota 2'!$H$10</f>
        <v>0</v>
      </c>
      <c r="AE317" s="2">
        <f t="shared" si="28"/>
        <v>0</v>
      </c>
      <c r="AF317" s="17">
        <f t="shared" si="29"/>
        <v>0</v>
      </c>
    </row>
    <row r="318" spans="1:32" x14ac:dyDescent="0.25">
      <c r="A318" s="6">
        <f>[1]Items!$A304</f>
        <v>0</v>
      </c>
      <c r="B318" s="16">
        <f>[1]Items!B304</f>
        <v>0</v>
      </c>
      <c r="C318" s="16">
        <f>[1]Items!C304</f>
        <v>0</v>
      </c>
      <c r="D318" s="16">
        <f>[1]Items!D304</f>
        <v>0</v>
      </c>
      <c r="E318" s="16">
        <f>[1]Items!E304</f>
        <v>0</v>
      </c>
      <c r="F318" s="16">
        <f>[1]Items!F304</f>
        <v>0</v>
      </c>
      <c r="G318" s="16">
        <f>[1]Items!G304</f>
        <v>0</v>
      </c>
      <c r="H318" s="16">
        <f>[1]Items!H304</f>
        <v>0</v>
      </c>
      <c r="I318" s="16">
        <f>[1]Items!I304</f>
        <v>0</v>
      </c>
      <c r="J318" s="16">
        <f>[1]Items!J304</f>
        <v>0</v>
      </c>
      <c r="K318" s="16">
        <f>[1]Items!K304</f>
        <v>0</v>
      </c>
      <c r="L318" s="16">
        <f>[1]Items!L304</f>
        <v>0</v>
      </c>
      <c r="M318" s="16">
        <f>[1]Items!M304</f>
        <v>0</v>
      </c>
      <c r="N318" s="16">
        <f>[1]Items!N304</f>
        <v>0</v>
      </c>
      <c r="O318" s="16">
        <f>[1]Items!O304</f>
        <v>0</v>
      </c>
      <c r="P318" s="16">
        <f>[1]Items!P304</f>
        <v>0</v>
      </c>
      <c r="Q318" s="16">
        <f>[1]Items!Q304</f>
        <v>0</v>
      </c>
      <c r="R318" s="16">
        <f>[1]Items!R304</f>
        <v>0</v>
      </c>
      <c r="S318" s="16">
        <f>[1]Items!S304</f>
        <v>0</v>
      </c>
      <c r="W318">
        <f>IF('Dota 2'!$C$6, (Items!C318+Items!E318)*Items!$X$2, (Items!C318+Items!D318)*Items!$X$2)</f>
        <v>0</v>
      </c>
      <c r="X318">
        <f t="shared" si="24"/>
        <v>0</v>
      </c>
      <c r="Y318">
        <f t="shared" si="25"/>
        <v>0</v>
      </c>
      <c r="Z318">
        <f t="shared" si="26"/>
        <v>0</v>
      </c>
      <c r="AA318">
        <f t="shared" si="27"/>
        <v>0</v>
      </c>
      <c r="AB318">
        <f>('Dota 2'!$H$10/$Z$4) * (1-($Y$9*($AA$2+J318))/($Y$7+$Y$9*ABS($AA$2+J318)) - $Z$4)</f>
        <v>0</v>
      </c>
      <c r="AC318">
        <f>IF('Dota 2'!$C$6, K318*M318*(1-$Z$3)*'Dota 2'!$H$8, K318*L318*(1-$Z$3)*'Dota 2'!$H$8)</f>
        <v>0</v>
      </c>
      <c r="AD318">
        <f>N318*O318*'Dota 2'!$H$10</f>
        <v>0</v>
      </c>
      <c r="AE318" s="2">
        <f t="shared" si="28"/>
        <v>0</v>
      </c>
      <c r="AF318" s="17">
        <f t="shared" si="29"/>
        <v>0</v>
      </c>
    </row>
    <row r="319" spans="1:32" x14ac:dyDescent="0.25">
      <c r="A319" s="6">
        <f>[1]Items!$A305</f>
        <v>0</v>
      </c>
      <c r="B319" s="16">
        <f>[1]Items!B305</f>
        <v>0</v>
      </c>
      <c r="C319" s="16">
        <f>[1]Items!C305</f>
        <v>0</v>
      </c>
      <c r="D319" s="16">
        <f>[1]Items!D305</f>
        <v>0</v>
      </c>
      <c r="E319" s="16">
        <f>[1]Items!E305</f>
        <v>0</v>
      </c>
      <c r="F319" s="16">
        <f>[1]Items!F305</f>
        <v>0</v>
      </c>
      <c r="G319" s="16">
        <f>[1]Items!G305</f>
        <v>0</v>
      </c>
      <c r="H319" s="16">
        <f>[1]Items!H305</f>
        <v>0</v>
      </c>
      <c r="I319" s="16">
        <f>[1]Items!I305</f>
        <v>0</v>
      </c>
      <c r="J319" s="16">
        <f>[1]Items!J305</f>
        <v>0</v>
      </c>
      <c r="K319" s="16">
        <f>[1]Items!K305</f>
        <v>0</v>
      </c>
      <c r="L319" s="16">
        <f>[1]Items!L305</f>
        <v>0</v>
      </c>
      <c r="M319" s="16">
        <f>[1]Items!M305</f>
        <v>0</v>
      </c>
      <c r="N319" s="16">
        <f>[1]Items!N305</f>
        <v>0</v>
      </c>
      <c r="O319" s="16">
        <f>[1]Items!O305</f>
        <v>0</v>
      </c>
      <c r="P319" s="16">
        <f>[1]Items!P305</f>
        <v>0</v>
      </c>
      <c r="Q319" s="16">
        <f>[1]Items!Q305</f>
        <v>0</v>
      </c>
      <c r="R319" s="16">
        <f>[1]Items!R305</f>
        <v>0</v>
      </c>
      <c r="S319" s="16">
        <f>[1]Items!S305</f>
        <v>0</v>
      </c>
      <c r="W319">
        <f>IF('Dota 2'!$C$6, (Items!C319+Items!E319)*Items!$X$2, (Items!C319+Items!D319)*Items!$X$2)</f>
        <v>0</v>
      </c>
      <c r="X319">
        <f t="shared" si="24"/>
        <v>0</v>
      </c>
      <c r="Y319">
        <f t="shared" si="25"/>
        <v>0</v>
      </c>
      <c r="Z319">
        <f t="shared" si="26"/>
        <v>0</v>
      </c>
      <c r="AA319">
        <f t="shared" si="27"/>
        <v>0</v>
      </c>
      <c r="AB319">
        <f>('Dota 2'!$H$10/$Z$4) * (1-($Y$9*($AA$2+J319))/($Y$7+$Y$9*ABS($AA$2+J319)) - $Z$4)</f>
        <v>0</v>
      </c>
      <c r="AC319">
        <f>IF('Dota 2'!$C$6, K319*M319*(1-$Z$3)*'Dota 2'!$H$8, K319*L319*(1-$Z$3)*'Dota 2'!$H$8)</f>
        <v>0</v>
      </c>
      <c r="AD319">
        <f>N319*O319*'Dota 2'!$H$10</f>
        <v>0</v>
      </c>
      <c r="AE319" s="2">
        <f t="shared" si="28"/>
        <v>0</v>
      </c>
      <c r="AF319" s="17">
        <f t="shared" si="29"/>
        <v>0</v>
      </c>
    </row>
    <row r="320" spans="1:32" x14ac:dyDescent="0.25">
      <c r="A320" s="6">
        <f>[1]Items!$A306</f>
        <v>0</v>
      </c>
      <c r="B320" s="16">
        <f>[1]Items!B306</f>
        <v>0</v>
      </c>
      <c r="C320" s="16">
        <f>[1]Items!C306</f>
        <v>0</v>
      </c>
      <c r="D320" s="16">
        <f>[1]Items!D306</f>
        <v>0</v>
      </c>
      <c r="E320" s="16">
        <f>[1]Items!E306</f>
        <v>0</v>
      </c>
      <c r="F320" s="16">
        <f>[1]Items!F306</f>
        <v>0</v>
      </c>
      <c r="G320" s="16">
        <f>[1]Items!G306</f>
        <v>0</v>
      </c>
      <c r="H320" s="16">
        <f>[1]Items!H306</f>
        <v>0</v>
      </c>
      <c r="I320" s="16">
        <f>[1]Items!I306</f>
        <v>0</v>
      </c>
      <c r="J320" s="16">
        <f>[1]Items!J306</f>
        <v>0</v>
      </c>
      <c r="K320" s="16">
        <f>[1]Items!K306</f>
        <v>0</v>
      </c>
      <c r="L320" s="16">
        <f>[1]Items!L306</f>
        <v>0</v>
      </c>
      <c r="M320" s="16">
        <f>[1]Items!M306</f>
        <v>0</v>
      </c>
      <c r="N320" s="16">
        <f>[1]Items!N306</f>
        <v>0</v>
      </c>
      <c r="O320" s="16">
        <f>[1]Items!O306</f>
        <v>0</v>
      </c>
      <c r="P320" s="16">
        <f>[1]Items!P306</f>
        <v>0</v>
      </c>
      <c r="Q320" s="16">
        <f>[1]Items!Q306</f>
        <v>0</v>
      </c>
      <c r="R320" s="16">
        <f>[1]Items!R306</f>
        <v>0</v>
      </c>
      <c r="S320" s="16">
        <f>[1]Items!S306</f>
        <v>0</v>
      </c>
      <c r="W320">
        <f>IF('Dota 2'!$C$6, (Items!C320+Items!E320)*Items!$X$2, (Items!C320+Items!D320)*Items!$X$2)</f>
        <v>0</v>
      </c>
      <c r="X320">
        <f t="shared" si="24"/>
        <v>0</v>
      </c>
      <c r="Y320">
        <f t="shared" si="25"/>
        <v>0</v>
      </c>
      <c r="Z320">
        <f t="shared" si="26"/>
        <v>0</v>
      </c>
      <c r="AA320">
        <f t="shared" si="27"/>
        <v>0</v>
      </c>
      <c r="AB320">
        <f>('Dota 2'!$H$10/$Z$4) * (1-($Y$9*($AA$2+J320))/($Y$7+$Y$9*ABS($AA$2+J320)) - $Z$4)</f>
        <v>0</v>
      </c>
      <c r="AC320">
        <f>IF('Dota 2'!$C$6, K320*M320*(1-$Z$3)*'Dota 2'!$H$8, K320*L320*(1-$Z$3)*'Dota 2'!$H$8)</f>
        <v>0</v>
      </c>
      <c r="AD320">
        <f>N320*O320*'Dota 2'!$H$10</f>
        <v>0</v>
      </c>
      <c r="AE320" s="2">
        <f t="shared" si="28"/>
        <v>0</v>
      </c>
      <c r="AF320" s="17">
        <f t="shared" si="29"/>
        <v>0</v>
      </c>
    </row>
    <row r="321" spans="1:32" x14ac:dyDescent="0.25">
      <c r="A321" s="6">
        <f>[1]Items!$A307</f>
        <v>0</v>
      </c>
      <c r="B321" s="16">
        <f>[1]Items!B307</f>
        <v>0</v>
      </c>
      <c r="C321" s="16">
        <f>[1]Items!C307</f>
        <v>0</v>
      </c>
      <c r="D321" s="16">
        <f>[1]Items!D307</f>
        <v>0</v>
      </c>
      <c r="E321" s="16">
        <f>[1]Items!E307</f>
        <v>0</v>
      </c>
      <c r="F321" s="16">
        <f>[1]Items!F307</f>
        <v>0</v>
      </c>
      <c r="G321" s="16">
        <f>[1]Items!G307</f>
        <v>0</v>
      </c>
      <c r="H321" s="16">
        <f>[1]Items!H307</f>
        <v>0</v>
      </c>
      <c r="I321" s="16">
        <f>[1]Items!I307</f>
        <v>0</v>
      </c>
      <c r="J321" s="16">
        <f>[1]Items!J307</f>
        <v>0</v>
      </c>
      <c r="K321" s="16">
        <f>[1]Items!K307</f>
        <v>0</v>
      </c>
      <c r="L321" s="16">
        <f>[1]Items!L307</f>
        <v>0</v>
      </c>
      <c r="M321" s="16">
        <f>[1]Items!M307</f>
        <v>0</v>
      </c>
      <c r="N321" s="16">
        <f>[1]Items!N307</f>
        <v>0</v>
      </c>
      <c r="O321" s="16">
        <f>[1]Items!O307</f>
        <v>0</v>
      </c>
      <c r="P321" s="16">
        <f>[1]Items!P307</f>
        <v>0</v>
      </c>
      <c r="Q321" s="16">
        <f>[1]Items!Q307</f>
        <v>0</v>
      </c>
      <c r="R321" s="16">
        <f>[1]Items!R307</f>
        <v>0</v>
      </c>
      <c r="S321" s="16">
        <f>[1]Items!S307</f>
        <v>0</v>
      </c>
      <c r="W321">
        <f>IF('Dota 2'!$C$6, (Items!C321+Items!E321)*Items!$X$2, (Items!C321+Items!D321)*Items!$X$2)</f>
        <v>0</v>
      </c>
      <c r="X321">
        <f t="shared" si="24"/>
        <v>0</v>
      </c>
      <c r="Y321">
        <f t="shared" si="25"/>
        <v>0</v>
      </c>
      <c r="Z321">
        <f t="shared" si="26"/>
        <v>0</v>
      </c>
      <c r="AA321">
        <f t="shared" si="27"/>
        <v>0</v>
      </c>
      <c r="AB321">
        <f>('Dota 2'!$H$10/$Z$4) * (1-($Y$9*($AA$2+J321))/($Y$7+$Y$9*ABS($AA$2+J321)) - $Z$4)</f>
        <v>0</v>
      </c>
      <c r="AC321">
        <f>IF('Dota 2'!$C$6, K321*M321*(1-$Z$3)*'Dota 2'!$H$8, K321*L321*(1-$Z$3)*'Dota 2'!$H$8)</f>
        <v>0</v>
      </c>
      <c r="AD321">
        <f>N321*O321*'Dota 2'!$H$10</f>
        <v>0</v>
      </c>
      <c r="AE321" s="2">
        <f t="shared" si="28"/>
        <v>0</v>
      </c>
      <c r="AF321" s="17">
        <f t="shared" si="29"/>
        <v>0</v>
      </c>
    </row>
    <row r="322" spans="1:32" x14ac:dyDescent="0.25">
      <c r="A322" s="6">
        <f>[1]Items!$A308</f>
        <v>0</v>
      </c>
      <c r="B322" s="16">
        <f>[1]Items!B308</f>
        <v>0</v>
      </c>
      <c r="C322" s="16">
        <f>[1]Items!C308</f>
        <v>0</v>
      </c>
      <c r="D322" s="16">
        <f>[1]Items!D308</f>
        <v>0</v>
      </c>
      <c r="E322" s="16">
        <f>[1]Items!E308</f>
        <v>0</v>
      </c>
      <c r="F322" s="16">
        <f>[1]Items!F308</f>
        <v>0</v>
      </c>
      <c r="G322" s="16">
        <f>[1]Items!G308</f>
        <v>0</v>
      </c>
      <c r="H322" s="16">
        <f>[1]Items!H308</f>
        <v>0</v>
      </c>
      <c r="I322" s="16">
        <f>[1]Items!I308</f>
        <v>0</v>
      </c>
      <c r="J322" s="16">
        <f>[1]Items!J308</f>
        <v>0</v>
      </c>
      <c r="K322" s="16">
        <f>[1]Items!K308</f>
        <v>0</v>
      </c>
      <c r="L322" s="16">
        <f>[1]Items!L308</f>
        <v>0</v>
      </c>
      <c r="M322" s="16">
        <f>[1]Items!M308</f>
        <v>0</v>
      </c>
      <c r="N322" s="16">
        <f>[1]Items!N308</f>
        <v>0</v>
      </c>
      <c r="O322" s="16">
        <f>[1]Items!O308</f>
        <v>0</v>
      </c>
      <c r="P322" s="16">
        <f>[1]Items!P308</f>
        <v>0</v>
      </c>
      <c r="Q322" s="16">
        <f>[1]Items!Q308</f>
        <v>0</v>
      </c>
      <c r="R322" s="16">
        <f>[1]Items!R308</f>
        <v>0</v>
      </c>
      <c r="S322" s="16">
        <f>[1]Items!S308</f>
        <v>0</v>
      </c>
      <c r="W322">
        <f>IF('Dota 2'!$C$6, (Items!C322+Items!E322)*Items!$X$2, (Items!C322+Items!D322)*Items!$X$2)</f>
        <v>0</v>
      </c>
      <c r="X322">
        <f t="shared" si="24"/>
        <v>0</v>
      </c>
      <c r="Y322">
        <f t="shared" si="25"/>
        <v>0</v>
      </c>
      <c r="Z322">
        <f t="shared" si="26"/>
        <v>0</v>
      </c>
      <c r="AA322">
        <f t="shared" si="27"/>
        <v>0</v>
      </c>
      <c r="AB322">
        <f>('Dota 2'!$H$10/$Z$4) * (1-($Y$9*($AA$2+J322))/($Y$7+$Y$9*ABS($AA$2+J322)) - $Z$4)</f>
        <v>0</v>
      </c>
      <c r="AC322">
        <f>IF('Dota 2'!$C$6, K322*M322*(1-$Z$3)*'Dota 2'!$H$8, K322*L322*(1-$Z$3)*'Dota 2'!$H$8)</f>
        <v>0</v>
      </c>
      <c r="AD322">
        <f>N322*O322*'Dota 2'!$H$10</f>
        <v>0</v>
      </c>
      <c r="AE322" s="2">
        <f t="shared" si="28"/>
        <v>0</v>
      </c>
      <c r="AF322" s="17">
        <f t="shared" si="29"/>
        <v>0</v>
      </c>
    </row>
    <row r="323" spans="1:32" x14ac:dyDescent="0.25">
      <c r="A323" s="6">
        <f>[1]Items!$A309</f>
        <v>0</v>
      </c>
      <c r="B323" s="16">
        <f>[1]Items!B309</f>
        <v>0</v>
      </c>
      <c r="C323" s="16">
        <f>[1]Items!C309</f>
        <v>0</v>
      </c>
      <c r="D323" s="16">
        <f>[1]Items!D309</f>
        <v>0</v>
      </c>
      <c r="E323" s="16">
        <f>[1]Items!E309</f>
        <v>0</v>
      </c>
      <c r="F323" s="16">
        <f>[1]Items!F309</f>
        <v>0</v>
      </c>
      <c r="G323" s="16">
        <f>[1]Items!G309</f>
        <v>0</v>
      </c>
      <c r="H323" s="16">
        <f>[1]Items!H309</f>
        <v>0</v>
      </c>
      <c r="I323" s="16">
        <f>[1]Items!I309</f>
        <v>0</v>
      </c>
      <c r="J323" s="16">
        <f>[1]Items!J309</f>
        <v>0</v>
      </c>
      <c r="K323" s="16">
        <f>[1]Items!K309</f>
        <v>0</v>
      </c>
      <c r="L323" s="16">
        <f>[1]Items!L309</f>
        <v>0</v>
      </c>
      <c r="M323" s="16">
        <f>[1]Items!M309</f>
        <v>0</v>
      </c>
      <c r="N323" s="16">
        <f>[1]Items!N309</f>
        <v>0</v>
      </c>
      <c r="O323" s="16">
        <f>[1]Items!O309</f>
        <v>0</v>
      </c>
      <c r="P323" s="16">
        <f>[1]Items!P309</f>
        <v>0</v>
      </c>
      <c r="Q323" s="16">
        <f>[1]Items!Q309</f>
        <v>0</v>
      </c>
      <c r="R323" s="16">
        <f>[1]Items!R309</f>
        <v>0</v>
      </c>
      <c r="S323" s="16">
        <f>[1]Items!S309</f>
        <v>0</v>
      </c>
      <c r="W323">
        <f>IF('Dota 2'!$C$6, (Items!C323+Items!E323)*Items!$X$2, (Items!C323+Items!D323)*Items!$X$2)</f>
        <v>0</v>
      </c>
      <c r="X323">
        <f t="shared" si="24"/>
        <v>0</v>
      </c>
      <c r="Y323">
        <f t="shared" si="25"/>
        <v>0</v>
      </c>
      <c r="Z323">
        <f t="shared" si="26"/>
        <v>0</v>
      </c>
      <c r="AA323">
        <f t="shared" si="27"/>
        <v>0</v>
      </c>
      <c r="AB323">
        <f>('Dota 2'!$H$10/$Z$4) * (1-($Y$9*($AA$2+J323))/($Y$7+$Y$9*ABS($AA$2+J323)) - $Z$4)</f>
        <v>0</v>
      </c>
      <c r="AC323">
        <f>IF('Dota 2'!$C$6, K323*M323*(1-$Z$3)*'Dota 2'!$H$8, K323*L323*(1-$Z$3)*'Dota 2'!$H$8)</f>
        <v>0</v>
      </c>
      <c r="AD323">
        <f>N323*O323*'Dota 2'!$H$10</f>
        <v>0</v>
      </c>
      <c r="AE323" s="2">
        <f t="shared" si="28"/>
        <v>0</v>
      </c>
      <c r="AF323" s="17">
        <f t="shared" si="29"/>
        <v>0</v>
      </c>
    </row>
    <row r="324" spans="1:32" x14ac:dyDescent="0.25">
      <c r="A324" s="6">
        <f>[1]Items!$A310</f>
        <v>0</v>
      </c>
      <c r="B324" s="16">
        <f>[1]Items!B310</f>
        <v>0</v>
      </c>
      <c r="C324" s="16">
        <f>[1]Items!C310</f>
        <v>0</v>
      </c>
      <c r="D324" s="16">
        <f>[1]Items!D310</f>
        <v>0</v>
      </c>
      <c r="E324" s="16">
        <f>[1]Items!E310</f>
        <v>0</v>
      </c>
      <c r="F324" s="16">
        <f>[1]Items!F310</f>
        <v>0</v>
      </c>
      <c r="G324" s="16">
        <f>[1]Items!G310</f>
        <v>0</v>
      </c>
      <c r="H324" s="16">
        <f>[1]Items!H310</f>
        <v>0</v>
      </c>
      <c r="I324" s="16">
        <f>[1]Items!I310</f>
        <v>0</v>
      </c>
      <c r="J324" s="16">
        <f>[1]Items!J310</f>
        <v>0</v>
      </c>
      <c r="K324" s="16">
        <f>[1]Items!K310</f>
        <v>0</v>
      </c>
      <c r="L324" s="16">
        <f>[1]Items!L310</f>
        <v>0</v>
      </c>
      <c r="M324" s="16">
        <f>[1]Items!M310</f>
        <v>0</v>
      </c>
      <c r="N324" s="16">
        <f>[1]Items!N310</f>
        <v>0</v>
      </c>
      <c r="O324" s="16">
        <f>[1]Items!O310</f>
        <v>0</v>
      </c>
      <c r="P324" s="16">
        <f>[1]Items!P310</f>
        <v>0</v>
      </c>
      <c r="Q324" s="16">
        <f>[1]Items!Q310</f>
        <v>0</v>
      </c>
      <c r="R324" s="16">
        <f>[1]Items!R310</f>
        <v>0</v>
      </c>
      <c r="S324" s="16">
        <f>[1]Items!S310</f>
        <v>0</v>
      </c>
      <c r="W324">
        <f>IF('Dota 2'!$C$6, (Items!C324+Items!E324)*Items!$X$2, (Items!C324+Items!D324)*Items!$X$2)</f>
        <v>0</v>
      </c>
      <c r="X324">
        <f t="shared" si="24"/>
        <v>0</v>
      </c>
      <c r="Y324">
        <f t="shared" si="25"/>
        <v>0</v>
      </c>
      <c r="Z324">
        <f t="shared" si="26"/>
        <v>0</v>
      </c>
      <c r="AA324">
        <f t="shared" si="27"/>
        <v>0</v>
      </c>
      <c r="AB324">
        <f>('Dota 2'!$H$10/$Z$4) * (1-($Y$9*($AA$2+J324))/($Y$7+$Y$9*ABS($AA$2+J324)) - $Z$4)</f>
        <v>0</v>
      </c>
      <c r="AC324">
        <f>IF('Dota 2'!$C$6, K324*M324*(1-$Z$3)*'Dota 2'!$H$8, K324*L324*(1-$Z$3)*'Dota 2'!$H$8)</f>
        <v>0</v>
      </c>
      <c r="AD324">
        <f>N324*O324*'Dota 2'!$H$10</f>
        <v>0</v>
      </c>
      <c r="AE324" s="2">
        <f t="shared" si="28"/>
        <v>0</v>
      </c>
      <c r="AF324" s="17">
        <f t="shared" si="29"/>
        <v>0</v>
      </c>
    </row>
    <row r="325" spans="1:32" x14ac:dyDescent="0.25">
      <c r="A325" s="6">
        <f>[1]Items!$A311</f>
        <v>0</v>
      </c>
      <c r="B325" s="16">
        <f>[1]Items!B311</f>
        <v>0</v>
      </c>
      <c r="C325" s="16">
        <f>[1]Items!C311</f>
        <v>0</v>
      </c>
      <c r="D325" s="16">
        <f>[1]Items!D311</f>
        <v>0</v>
      </c>
      <c r="E325" s="16">
        <f>[1]Items!E311</f>
        <v>0</v>
      </c>
      <c r="F325" s="16">
        <f>[1]Items!F311</f>
        <v>0</v>
      </c>
      <c r="G325" s="16">
        <f>[1]Items!G311</f>
        <v>0</v>
      </c>
      <c r="H325" s="16">
        <f>[1]Items!H311</f>
        <v>0</v>
      </c>
      <c r="I325" s="16">
        <f>[1]Items!I311</f>
        <v>0</v>
      </c>
      <c r="J325" s="16">
        <f>[1]Items!J311</f>
        <v>0</v>
      </c>
      <c r="K325" s="16">
        <f>[1]Items!K311</f>
        <v>0</v>
      </c>
      <c r="L325" s="16">
        <f>[1]Items!L311</f>
        <v>0</v>
      </c>
      <c r="M325" s="16">
        <f>[1]Items!M311</f>
        <v>0</v>
      </c>
      <c r="N325" s="16">
        <f>[1]Items!N311</f>
        <v>0</v>
      </c>
      <c r="O325" s="16">
        <f>[1]Items!O311</f>
        <v>0</v>
      </c>
      <c r="P325" s="16">
        <f>[1]Items!P311</f>
        <v>0</v>
      </c>
      <c r="Q325" s="16">
        <f>[1]Items!Q311</f>
        <v>0</v>
      </c>
      <c r="R325" s="16">
        <f>[1]Items!R311</f>
        <v>0</v>
      </c>
      <c r="S325" s="16">
        <f>[1]Items!S311</f>
        <v>0</v>
      </c>
      <c r="W325">
        <f>IF('Dota 2'!$C$6, (Items!C325+Items!E325)*Items!$X$2, (Items!C325+Items!D325)*Items!$X$2)</f>
        <v>0</v>
      </c>
      <c r="X325">
        <f t="shared" si="24"/>
        <v>0</v>
      </c>
      <c r="Y325">
        <f t="shared" si="25"/>
        <v>0</v>
      </c>
      <c r="Z325">
        <f t="shared" si="26"/>
        <v>0</v>
      </c>
      <c r="AA325">
        <f t="shared" si="27"/>
        <v>0</v>
      </c>
      <c r="AB325">
        <f>('Dota 2'!$H$10/$Z$4) * (1-($Y$9*($AA$2+J325))/($Y$7+$Y$9*ABS($AA$2+J325)) - $Z$4)</f>
        <v>0</v>
      </c>
      <c r="AC325">
        <f>IF('Dota 2'!$C$6, K325*M325*(1-$Z$3)*'Dota 2'!$H$8, K325*L325*(1-$Z$3)*'Dota 2'!$H$8)</f>
        <v>0</v>
      </c>
      <c r="AD325">
        <f>N325*O325*'Dota 2'!$H$10</f>
        <v>0</v>
      </c>
      <c r="AE325" s="2">
        <f t="shared" si="28"/>
        <v>0</v>
      </c>
      <c r="AF325" s="17">
        <f t="shared" si="29"/>
        <v>0</v>
      </c>
    </row>
    <row r="326" spans="1:32" x14ac:dyDescent="0.25">
      <c r="A326" s="6">
        <f>[1]Items!$A312</f>
        <v>0</v>
      </c>
      <c r="B326" s="16">
        <f>[1]Items!B312</f>
        <v>0</v>
      </c>
      <c r="C326" s="16">
        <f>[1]Items!C312</f>
        <v>0</v>
      </c>
      <c r="D326" s="16">
        <f>[1]Items!D312</f>
        <v>0</v>
      </c>
      <c r="E326" s="16">
        <f>[1]Items!E312</f>
        <v>0</v>
      </c>
      <c r="F326" s="16">
        <f>[1]Items!F312</f>
        <v>0</v>
      </c>
      <c r="G326" s="16">
        <f>[1]Items!G312</f>
        <v>0</v>
      </c>
      <c r="H326" s="16">
        <f>[1]Items!H312</f>
        <v>0</v>
      </c>
      <c r="I326" s="16">
        <f>[1]Items!I312</f>
        <v>0</v>
      </c>
      <c r="J326" s="16">
        <f>[1]Items!J312</f>
        <v>0</v>
      </c>
      <c r="K326" s="16">
        <f>[1]Items!K312</f>
        <v>0</v>
      </c>
      <c r="L326" s="16">
        <f>[1]Items!L312</f>
        <v>0</v>
      </c>
      <c r="M326" s="16">
        <f>[1]Items!M312</f>
        <v>0</v>
      </c>
      <c r="N326" s="16">
        <f>[1]Items!N312</f>
        <v>0</v>
      </c>
      <c r="O326" s="16">
        <f>[1]Items!O312</f>
        <v>0</v>
      </c>
      <c r="P326" s="16">
        <f>[1]Items!P312</f>
        <v>0</v>
      </c>
      <c r="Q326" s="16">
        <f>[1]Items!Q312</f>
        <v>0</v>
      </c>
      <c r="R326" s="16">
        <f>[1]Items!R312</f>
        <v>0</v>
      </c>
      <c r="S326" s="16">
        <f>[1]Items!S312</f>
        <v>0</v>
      </c>
      <c r="W326">
        <f>IF('Dota 2'!$C$6, (Items!C326+Items!E326)*Items!$X$2, (Items!C326+Items!D326)*Items!$X$2)</f>
        <v>0</v>
      </c>
      <c r="X326">
        <f t="shared" si="24"/>
        <v>0</v>
      </c>
      <c r="Y326">
        <f t="shared" si="25"/>
        <v>0</v>
      </c>
      <c r="Z326">
        <f t="shared" si="26"/>
        <v>0</v>
      </c>
      <c r="AA326">
        <f t="shared" si="27"/>
        <v>0</v>
      </c>
      <c r="AB326">
        <f>('Dota 2'!$H$10/$Z$4) * (1-($Y$9*($AA$2+J326))/($Y$7+$Y$9*ABS($AA$2+J326)) - $Z$4)</f>
        <v>0</v>
      </c>
      <c r="AC326">
        <f>IF('Dota 2'!$C$6, K326*M326*(1-$Z$3)*'Dota 2'!$H$8, K326*L326*(1-$Z$3)*'Dota 2'!$H$8)</f>
        <v>0</v>
      </c>
      <c r="AD326">
        <f>N326*O326*'Dota 2'!$H$10</f>
        <v>0</v>
      </c>
      <c r="AE326" s="2">
        <f t="shared" si="28"/>
        <v>0</v>
      </c>
      <c r="AF326" s="17">
        <f t="shared" si="29"/>
        <v>0</v>
      </c>
    </row>
    <row r="327" spans="1:32" x14ac:dyDescent="0.25">
      <c r="A327" s="6">
        <f>[1]Items!$A313</f>
        <v>0</v>
      </c>
      <c r="B327" s="16">
        <f>[1]Items!B313</f>
        <v>0</v>
      </c>
      <c r="C327" s="16">
        <f>[1]Items!C313</f>
        <v>0</v>
      </c>
      <c r="D327" s="16">
        <f>[1]Items!D313</f>
        <v>0</v>
      </c>
      <c r="E327" s="16">
        <f>[1]Items!E313</f>
        <v>0</v>
      </c>
      <c r="F327" s="16">
        <f>[1]Items!F313</f>
        <v>0</v>
      </c>
      <c r="G327" s="16">
        <f>[1]Items!G313</f>
        <v>0</v>
      </c>
      <c r="H327" s="16">
        <f>[1]Items!H313</f>
        <v>0</v>
      </c>
      <c r="I327" s="16">
        <f>[1]Items!I313</f>
        <v>0</v>
      </c>
      <c r="J327" s="16">
        <f>[1]Items!J313</f>
        <v>0</v>
      </c>
      <c r="K327" s="16">
        <f>[1]Items!K313</f>
        <v>0</v>
      </c>
      <c r="L327" s="16">
        <f>[1]Items!L313</f>
        <v>0</v>
      </c>
      <c r="M327" s="16">
        <f>[1]Items!M313</f>
        <v>0</v>
      </c>
      <c r="N327" s="16">
        <f>[1]Items!N313</f>
        <v>0</v>
      </c>
      <c r="O327" s="16">
        <f>[1]Items!O313</f>
        <v>0</v>
      </c>
      <c r="P327" s="16">
        <f>[1]Items!P313</f>
        <v>0</v>
      </c>
      <c r="Q327" s="16">
        <f>[1]Items!Q313</f>
        <v>0</v>
      </c>
      <c r="R327" s="16">
        <f>[1]Items!R313</f>
        <v>0</v>
      </c>
      <c r="S327" s="16">
        <f>[1]Items!S313</f>
        <v>0</v>
      </c>
      <c r="W327">
        <f>IF('Dota 2'!$C$6, (Items!C327+Items!E327)*Items!$X$2, (Items!C327+Items!D327)*Items!$X$2)</f>
        <v>0</v>
      </c>
      <c r="X327">
        <f t="shared" si="24"/>
        <v>0</v>
      </c>
      <c r="Y327">
        <f t="shared" si="25"/>
        <v>0</v>
      </c>
      <c r="Z327">
        <f t="shared" si="26"/>
        <v>0</v>
      </c>
      <c r="AA327">
        <f t="shared" si="27"/>
        <v>0</v>
      </c>
      <c r="AB327">
        <f>('Dota 2'!$H$10/$Z$4) * (1-($Y$9*($AA$2+J327))/($Y$7+$Y$9*ABS($AA$2+J327)) - $Z$4)</f>
        <v>0</v>
      </c>
      <c r="AC327">
        <f>IF('Dota 2'!$C$6, K327*M327*(1-$Z$3)*'Dota 2'!$H$8, K327*L327*(1-$Z$3)*'Dota 2'!$H$8)</f>
        <v>0</v>
      </c>
      <c r="AD327">
        <f>N327*O327*'Dota 2'!$H$10</f>
        <v>0</v>
      </c>
      <c r="AE327" s="2">
        <f t="shared" si="28"/>
        <v>0</v>
      </c>
      <c r="AF327" s="17">
        <f t="shared" si="29"/>
        <v>0</v>
      </c>
    </row>
    <row r="328" spans="1:32" x14ac:dyDescent="0.25">
      <c r="A328" s="6">
        <f>[1]Items!$A314</f>
        <v>0</v>
      </c>
      <c r="B328" s="16">
        <f>[1]Items!B314</f>
        <v>0</v>
      </c>
      <c r="C328" s="16">
        <f>[1]Items!C314</f>
        <v>0</v>
      </c>
      <c r="D328" s="16">
        <f>[1]Items!D314</f>
        <v>0</v>
      </c>
      <c r="E328" s="16">
        <f>[1]Items!E314</f>
        <v>0</v>
      </c>
      <c r="F328" s="16">
        <f>[1]Items!F314</f>
        <v>0</v>
      </c>
      <c r="G328" s="16">
        <f>[1]Items!G314</f>
        <v>0</v>
      </c>
      <c r="H328" s="16">
        <f>[1]Items!H314</f>
        <v>0</v>
      </c>
      <c r="I328" s="16">
        <f>[1]Items!I314</f>
        <v>0</v>
      </c>
      <c r="J328" s="16">
        <f>[1]Items!J314</f>
        <v>0</v>
      </c>
      <c r="K328" s="16">
        <f>[1]Items!K314</f>
        <v>0</v>
      </c>
      <c r="L328" s="16">
        <f>[1]Items!L314</f>
        <v>0</v>
      </c>
      <c r="M328" s="16">
        <f>[1]Items!M314</f>
        <v>0</v>
      </c>
      <c r="N328" s="16">
        <f>[1]Items!N314</f>
        <v>0</v>
      </c>
      <c r="O328" s="16">
        <f>[1]Items!O314</f>
        <v>0</v>
      </c>
      <c r="P328" s="16">
        <f>[1]Items!P314</f>
        <v>0</v>
      </c>
      <c r="Q328" s="16">
        <f>[1]Items!Q314</f>
        <v>0</v>
      </c>
      <c r="R328" s="16">
        <f>[1]Items!R314</f>
        <v>0</v>
      </c>
      <c r="S328" s="16">
        <f>[1]Items!S314</f>
        <v>0</v>
      </c>
      <c r="W328">
        <f>IF('Dota 2'!$C$6, (Items!C328+Items!E328)*Items!$X$2, (Items!C328+Items!D328)*Items!$X$2)</f>
        <v>0</v>
      </c>
      <c r="X328">
        <f t="shared" si="24"/>
        <v>0</v>
      </c>
      <c r="Y328">
        <f t="shared" si="25"/>
        <v>0</v>
      </c>
      <c r="Z328">
        <f t="shared" si="26"/>
        <v>0</v>
      </c>
      <c r="AA328">
        <f t="shared" si="27"/>
        <v>0</v>
      </c>
      <c r="AB328">
        <f>('Dota 2'!$H$10/$Z$4) * (1-($Y$9*($AA$2+J328))/($Y$7+$Y$9*ABS($AA$2+J328)) - $Z$4)</f>
        <v>0</v>
      </c>
      <c r="AC328">
        <f>IF('Dota 2'!$C$6, K328*M328*(1-$Z$3)*'Dota 2'!$H$8, K328*L328*(1-$Z$3)*'Dota 2'!$H$8)</f>
        <v>0</v>
      </c>
      <c r="AD328">
        <f>N328*O328*'Dota 2'!$H$10</f>
        <v>0</v>
      </c>
      <c r="AE328" s="2">
        <f t="shared" si="28"/>
        <v>0</v>
      </c>
      <c r="AF328" s="17">
        <f t="shared" si="29"/>
        <v>0</v>
      </c>
    </row>
    <row r="329" spans="1:32" x14ac:dyDescent="0.25">
      <c r="A329" s="6">
        <f>[1]Items!$A315</f>
        <v>0</v>
      </c>
      <c r="B329" s="16">
        <f>[1]Items!B315</f>
        <v>0</v>
      </c>
      <c r="C329" s="16">
        <f>[1]Items!C315</f>
        <v>0</v>
      </c>
      <c r="D329" s="16">
        <f>[1]Items!D315</f>
        <v>0</v>
      </c>
      <c r="E329" s="16">
        <f>[1]Items!E315</f>
        <v>0</v>
      </c>
      <c r="F329" s="16">
        <f>[1]Items!F315</f>
        <v>0</v>
      </c>
      <c r="G329" s="16">
        <f>[1]Items!G315</f>
        <v>0</v>
      </c>
      <c r="H329" s="16">
        <f>[1]Items!H315</f>
        <v>0</v>
      </c>
      <c r="I329" s="16">
        <f>[1]Items!I315</f>
        <v>0</v>
      </c>
      <c r="J329" s="16">
        <f>[1]Items!J315</f>
        <v>0</v>
      </c>
      <c r="K329" s="16">
        <f>[1]Items!K315</f>
        <v>0</v>
      </c>
      <c r="L329" s="16">
        <f>[1]Items!L315</f>
        <v>0</v>
      </c>
      <c r="M329" s="16">
        <f>[1]Items!M315</f>
        <v>0</v>
      </c>
      <c r="N329" s="16">
        <f>[1]Items!N315</f>
        <v>0</v>
      </c>
      <c r="O329" s="16">
        <f>[1]Items!O315</f>
        <v>0</v>
      </c>
      <c r="P329" s="16">
        <f>[1]Items!P315</f>
        <v>0</v>
      </c>
      <c r="Q329" s="16">
        <f>[1]Items!Q315</f>
        <v>0</v>
      </c>
      <c r="R329" s="16">
        <f>[1]Items!R315</f>
        <v>0</v>
      </c>
      <c r="S329" s="16">
        <f>[1]Items!S315</f>
        <v>0</v>
      </c>
      <c r="W329">
        <f>IF('Dota 2'!$C$6, (Items!C329+Items!E329)*Items!$X$2, (Items!C329+Items!D329)*Items!$X$2)</f>
        <v>0</v>
      </c>
      <c r="X329">
        <f t="shared" si="24"/>
        <v>0</v>
      </c>
      <c r="Y329">
        <f t="shared" si="25"/>
        <v>0</v>
      </c>
      <c r="Z329">
        <f t="shared" si="26"/>
        <v>0</v>
      </c>
      <c r="AA329">
        <f t="shared" si="27"/>
        <v>0</v>
      </c>
      <c r="AB329">
        <f>('Dota 2'!$H$10/$Z$4) * (1-($Y$9*($AA$2+J329))/($Y$7+$Y$9*ABS($AA$2+J329)) - $Z$4)</f>
        <v>0</v>
      </c>
      <c r="AC329">
        <f>IF('Dota 2'!$C$6, K329*M329*(1-$Z$3)*'Dota 2'!$H$8, K329*L329*(1-$Z$3)*'Dota 2'!$H$8)</f>
        <v>0</v>
      </c>
      <c r="AD329">
        <f>N329*O329*'Dota 2'!$H$10</f>
        <v>0</v>
      </c>
      <c r="AE329" s="2">
        <f t="shared" si="28"/>
        <v>0</v>
      </c>
      <c r="AF329" s="17">
        <f t="shared" si="29"/>
        <v>0</v>
      </c>
    </row>
    <row r="330" spans="1:32" x14ac:dyDescent="0.25">
      <c r="A330" s="6">
        <f>[1]Items!$A316</f>
        <v>0</v>
      </c>
      <c r="B330" s="16">
        <f>[1]Items!B316</f>
        <v>0</v>
      </c>
      <c r="C330" s="16">
        <f>[1]Items!C316</f>
        <v>0</v>
      </c>
      <c r="D330" s="16">
        <f>[1]Items!D316</f>
        <v>0</v>
      </c>
      <c r="E330" s="16">
        <f>[1]Items!E316</f>
        <v>0</v>
      </c>
      <c r="F330" s="16">
        <f>[1]Items!F316</f>
        <v>0</v>
      </c>
      <c r="G330" s="16">
        <f>[1]Items!G316</f>
        <v>0</v>
      </c>
      <c r="H330" s="16">
        <f>[1]Items!H316</f>
        <v>0</v>
      </c>
      <c r="I330" s="16">
        <f>[1]Items!I316</f>
        <v>0</v>
      </c>
      <c r="J330" s="16">
        <f>[1]Items!J316</f>
        <v>0</v>
      </c>
      <c r="K330" s="16">
        <f>[1]Items!K316</f>
        <v>0</v>
      </c>
      <c r="L330" s="16">
        <f>[1]Items!L316</f>
        <v>0</v>
      </c>
      <c r="M330" s="16">
        <f>[1]Items!M316</f>
        <v>0</v>
      </c>
      <c r="N330" s="16">
        <f>[1]Items!N316</f>
        <v>0</v>
      </c>
      <c r="O330" s="16">
        <f>[1]Items!O316</f>
        <v>0</v>
      </c>
      <c r="P330" s="16">
        <f>[1]Items!P316</f>
        <v>0</v>
      </c>
      <c r="Q330" s="16">
        <f>[1]Items!Q316</f>
        <v>0</v>
      </c>
      <c r="R330" s="16">
        <f>[1]Items!R316</f>
        <v>0</v>
      </c>
      <c r="S330" s="16">
        <f>[1]Items!S316</f>
        <v>0</v>
      </c>
      <c r="W330">
        <f>IF('Dota 2'!$C$6, (Items!C330+Items!E330)*Items!$X$2, (Items!C330+Items!D330)*Items!$X$2)</f>
        <v>0</v>
      </c>
      <c r="X330">
        <f t="shared" si="24"/>
        <v>0</v>
      </c>
      <c r="Y330">
        <f t="shared" si="25"/>
        <v>0</v>
      </c>
      <c r="Z330">
        <f t="shared" si="26"/>
        <v>0</v>
      </c>
      <c r="AA330">
        <f t="shared" si="27"/>
        <v>0</v>
      </c>
      <c r="AB330">
        <f>('Dota 2'!$H$10/$Z$4) * (1-($Y$9*($AA$2+J330))/($Y$7+$Y$9*ABS($AA$2+J330)) - $Z$4)</f>
        <v>0</v>
      </c>
      <c r="AC330">
        <f>IF('Dota 2'!$C$6, K330*M330*(1-$Z$3)*'Dota 2'!$H$8, K330*L330*(1-$Z$3)*'Dota 2'!$H$8)</f>
        <v>0</v>
      </c>
      <c r="AD330">
        <f>N330*O330*'Dota 2'!$H$10</f>
        <v>0</v>
      </c>
      <c r="AE330" s="2">
        <f t="shared" si="28"/>
        <v>0</v>
      </c>
      <c r="AF330" s="17">
        <f t="shared" si="29"/>
        <v>0</v>
      </c>
    </row>
    <row r="331" spans="1:32" x14ac:dyDescent="0.25">
      <c r="A331" s="6">
        <f>[1]Items!$A317</f>
        <v>0</v>
      </c>
      <c r="B331" s="16">
        <f>[1]Items!B317</f>
        <v>0</v>
      </c>
      <c r="C331" s="16">
        <f>[1]Items!C317</f>
        <v>0</v>
      </c>
      <c r="D331" s="16">
        <f>[1]Items!D317</f>
        <v>0</v>
      </c>
      <c r="E331" s="16">
        <f>[1]Items!E317</f>
        <v>0</v>
      </c>
      <c r="F331" s="16">
        <f>[1]Items!F317</f>
        <v>0</v>
      </c>
      <c r="G331" s="16">
        <f>[1]Items!G317</f>
        <v>0</v>
      </c>
      <c r="H331" s="16">
        <f>[1]Items!H317</f>
        <v>0</v>
      </c>
      <c r="I331" s="16">
        <f>[1]Items!I317</f>
        <v>0</v>
      </c>
      <c r="J331" s="16">
        <f>[1]Items!J317</f>
        <v>0</v>
      </c>
      <c r="K331" s="16">
        <f>[1]Items!K317</f>
        <v>0</v>
      </c>
      <c r="L331" s="16">
        <f>[1]Items!L317</f>
        <v>0</v>
      </c>
      <c r="M331" s="16">
        <f>[1]Items!M317</f>
        <v>0</v>
      </c>
      <c r="N331" s="16">
        <f>[1]Items!N317</f>
        <v>0</v>
      </c>
      <c r="O331" s="16">
        <f>[1]Items!O317</f>
        <v>0</v>
      </c>
      <c r="P331" s="16">
        <f>[1]Items!P317</f>
        <v>0</v>
      </c>
      <c r="Q331" s="16">
        <f>[1]Items!Q317</f>
        <v>0</v>
      </c>
      <c r="R331" s="16">
        <f>[1]Items!R317</f>
        <v>0</v>
      </c>
      <c r="S331" s="16">
        <f>[1]Items!S317</f>
        <v>0</v>
      </c>
      <c r="W331">
        <f>IF('Dota 2'!$C$6, (Items!C331+Items!E331)*Items!$X$2, (Items!C331+Items!D331)*Items!$X$2)</f>
        <v>0</v>
      </c>
      <c r="X331">
        <f t="shared" si="24"/>
        <v>0</v>
      </c>
      <c r="Y331">
        <f t="shared" si="25"/>
        <v>0</v>
      </c>
      <c r="Z331">
        <f t="shared" si="26"/>
        <v>0</v>
      </c>
      <c r="AA331">
        <f t="shared" si="27"/>
        <v>0</v>
      </c>
      <c r="AB331">
        <f>('Dota 2'!$H$10/$Z$4) * (1-($Y$9*($AA$2+J331))/($Y$7+$Y$9*ABS($AA$2+J331)) - $Z$4)</f>
        <v>0</v>
      </c>
      <c r="AC331">
        <f>IF('Dota 2'!$C$6, K331*M331*(1-$Z$3)*'Dota 2'!$H$8, K331*L331*(1-$Z$3)*'Dota 2'!$H$8)</f>
        <v>0</v>
      </c>
      <c r="AD331">
        <f>N331*O331*'Dota 2'!$H$10</f>
        <v>0</v>
      </c>
      <c r="AE331" s="2">
        <f t="shared" si="28"/>
        <v>0</v>
      </c>
      <c r="AF331" s="17">
        <f t="shared" si="29"/>
        <v>0</v>
      </c>
    </row>
    <row r="332" spans="1:32" x14ac:dyDescent="0.25">
      <c r="A332" s="6">
        <f>[1]Items!$A318</f>
        <v>0</v>
      </c>
      <c r="B332" s="16">
        <f>[1]Items!B318</f>
        <v>0</v>
      </c>
      <c r="C332" s="16">
        <f>[1]Items!C318</f>
        <v>0</v>
      </c>
      <c r="D332" s="16">
        <f>[1]Items!D318</f>
        <v>0</v>
      </c>
      <c r="E332" s="16">
        <f>[1]Items!E318</f>
        <v>0</v>
      </c>
      <c r="F332" s="16">
        <f>[1]Items!F318</f>
        <v>0</v>
      </c>
      <c r="G332" s="16">
        <f>[1]Items!G318</f>
        <v>0</v>
      </c>
      <c r="H332" s="16">
        <f>[1]Items!H318</f>
        <v>0</v>
      </c>
      <c r="I332" s="16">
        <f>[1]Items!I318</f>
        <v>0</v>
      </c>
      <c r="J332" s="16">
        <f>[1]Items!J318</f>
        <v>0</v>
      </c>
      <c r="K332" s="16">
        <f>[1]Items!K318</f>
        <v>0</v>
      </c>
      <c r="L332" s="16">
        <f>[1]Items!L318</f>
        <v>0</v>
      </c>
      <c r="M332" s="16">
        <f>[1]Items!M318</f>
        <v>0</v>
      </c>
      <c r="N332" s="16">
        <f>[1]Items!N318</f>
        <v>0</v>
      </c>
      <c r="O332" s="16">
        <f>[1]Items!O318</f>
        <v>0</v>
      </c>
      <c r="P332" s="16">
        <f>[1]Items!P318</f>
        <v>0</v>
      </c>
      <c r="Q332" s="16">
        <f>[1]Items!Q318</f>
        <v>0</v>
      </c>
      <c r="R332" s="16">
        <f>[1]Items!R318</f>
        <v>0</v>
      </c>
      <c r="S332" s="16">
        <f>[1]Items!S318</f>
        <v>0</v>
      </c>
      <c r="W332">
        <f>IF('Dota 2'!$C$6, (Items!C332+Items!E332)*Items!$X$2, (Items!C332+Items!D332)*Items!$X$2)</f>
        <v>0</v>
      </c>
      <c r="X332">
        <f t="shared" si="24"/>
        <v>0</v>
      </c>
      <c r="Y332">
        <f t="shared" si="25"/>
        <v>0</v>
      </c>
      <c r="Z332">
        <f t="shared" si="26"/>
        <v>0</v>
      </c>
      <c r="AA332">
        <f t="shared" si="27"/>
        <v>0</v>
      </c>
      <c r="AB332">
        <f>('Dota 2'!$H$10/$Z$4) * (1-($Y$9*($AA$2+J332))/($Y$7+$Y$9*ABS($AA$2+J332)) - $Z$4)</f>
        <v>0</v>
      </c>
      <c r="AC332">
        <f>IF('Dota 2'!$C$6, K332*M332*(1-$Z$3)*'Dota 2'!$H$8, K332*L332*(1-$Z$3)*'Dota 2'!$H$8)</f>
        <v>0</v>
      </c>
      <c r="AD332">
        <f>N332*O332*'Dota 2'!$H$10</f>
        <v>0</v>
      </c>
      <c r="AE332" s="2">
        <f t="shared" si="28"/>
        <v>0</v>
      </c>
      <c r="AF332" s="17">
        <f t="shared" si="29"/>
        <v>0</v>
      </c>
    </row>
    <row r="333" spans="1:32" x14ac:dyDescent="0.25">
      <c r="A333" s="6">
        <f>[1]Items!$A319</f>
        <v>0</v>
      </c>
      <c r="B333" s="16">
        <f>[1]Items!B319</f>
        <v>0</v>
      </c>
      <c r="C333" s="16">
        <f>[1]Items!C319</f>
        <v>0</v>
      </c>
      <c r="D333" s="16">
        <f>[1]Items!D319</f>
        <v>0</v>
      </c>
      <c r="E333" s="16">
        <f>[1]Items!E319</f>
        <v>0</v>
      </c>
      <c r="F333" s="16">
        <f>[1]Items!F319</f>
        <v>0</v>
      </c>
      <c r="G333" s="16">
        <f>[1]Items!G319</f>
        <v>0</v>
      </c>
      <c r="H333" s="16">
        <f>[1]Items!H319</f>
        <v>0</v>
      </c>
      <c r="I333" s="16">
        <f>[1]Items!I319</f>
        <v>0</v>
      </c>
      <c r="J333" s="16">
        <f>[1]Items!J319</f>
        <v>0</v>
      </c>
      <c r="K333" s="16">
        <f>[1]Items!K319</f>
        <v>0</v>
      </c>
      <c r="L333" s="16">
        <f>[1]Items!L319</f>
        <v>0</v>
      </c>
      <c r="M333" s="16">
        <f>[1]Items!M319</f>
        <v>0</v>
      </c>
      <c r="N333" s="16">
        <f>[1]Items!N319</f>
        <v>0</v>
      </c>
      <c r="O333" s="16">
        <f>[1]Items!O319</f>
        <v>0</v>
      </c>
      <c r="P333" s="16">
        <f>[1]Items!P319</f>
        <v>0</v>
      </c>
      <c r="Q333" s="16">
        <f>[1]Items!Q319</f>
        <v>0</v>
      </c>
      <c r="R333" s="16">
        <f>[1]Items!R319</f>
        <v>0</v>
      </c>
      <c r="S333" s="16">
        <f>[1]Items!S319</f>
        <v>0</v>
      </c>
      <c r="W333">
        <f>IF('Dota 2'!$C$6, (Items!C333+Items!E333)*Items!$X$2, (Items!C333+Items!D333)*Items!$X$2)</f>
        <v>0</v>
      </c>
      <c r="X333">
        <f t="shared" si="24"/>
        <v>0</v>
      </c>
      <c r="Y333">
        <f t="shared" si="25"/>
        <v>0</v>
      </c>
      <c r="Z333">
        <f t="shared" si="26"/>
        <v>0</v>
      </c>
      <c r="AA333">
        <f t="shared" si="27"/>
        <v>0</v>
      </c>
      <c r="AB333">
        <f>('Dota 2'!$H$10/$Z$4) * (1-($Y$9*($AA$2+J333))/($Y$7+$Y$9*ABS($AA$2+J333)) - $Z$4)</f>
        <v>0</v>
      </c>
      <c r="AC333">
        <f>IF('Dota 2'!$C$6, K333*M333*(1-$Z$3)*'Dota 2'!$H$8, K333*L333*(1-$Z$3)*'Dota 2'!$H$8)</f>
        <v>0</v>
      </c>
      <c r="AD333">
        <f>N333*O333*'Dota 2'!$H$10</f>
        <v>0</v>
      </c>
      <c r="AE333" s="2">
        <f t="shared" si="28"/>
        <v>0</v>
      </c>
      <c r="AF333" s="17">
        <f t="shared" si="29"/>
        <v>0</v>
      </c>
    </row>
  </sheetData>
  <conditionalFormatting sqref="A15:A333">
    <cfRule type="expression" dxfId="1" priority="1">
      <formula>IF($P15 = "true", TRUE(), FALSE())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87EBB-BEDE-4B39-A793-9464A1FC1BF8}">
  <dimension ref="A8:K155"/>
  <sheetViews>
    <sheetView workbookViewId="0">
      <selection activeCell="M25" sqref="M25"/>
    </sheetView>
  </sheetViews>
  <sheetFormatPr defaultRowHeight="15" x14ac:dyDescent="0.25"/>
  <cols>
    <col min="1" max="1" width="18.42578125" bestFit="1" customWidth="1"/>
    <col min="2" max="2" width="4.42578125" bestFit="1" customWidth="1"/>
    <col min="3" max="3" width="7.5703125" bestFit="1" customWidth="1"/>
    <col min="4" max="4" width="4.42578125" bestFit="1" customWidth="1"/>
    <col min="5" max="5" width="4" bestFit="1" customWidth="1"/>
    <col min="6" max="11" width="2" bestFit="1" customWidth="1"/>
    <col min="27" max="27" width="1.85546875" customWidth="1"/>
  </cols>
  <sheetData>
    <row r="8" spans="1:11" x14ac:dyDescent="0.25">
      <c r="A8" t="s">
        <v>146</v>
      </c>
    </row>
    <row r="9" spans="1:11" x14ac:dyDescent="0.25">
      <c r="A9" t="str">
        <f>'Dota 2'!B4</f>
        <v>Medusa</v>
      </c>
    </row>
    <row r="10" spans="1:11" x14ac:dyDescent="0.25">
      <c r="A10" t="s">
        <v>147</v>
      </c>
    </row>
    <row r="11" spans="1:11" x14ac:dyDescent="0.25">
      <c r="A11" t="str">
        <f>VLOOKUP($A$9,$A15:$K155, 1, FALSE)</f>
        <v>Medusa</v>
      </c>
      <c r="B11" t="str">
        <f>VLOOKUP($A$9,$A15:$K155, 2, FALSE)</f>
        <v>agi</v>
      </c>
      <c r="C11" t="str">
        <f>VLOOKUP($A$9,$A15:$K155, 3, FALSE)</f>
        <v>Ranged</v>
      </c>
      <c r="D11" t="str">
        <f>VLOOKUP($A$9,$A15:$K155, 4, FALSE)</f>
        <v>1.7</v>
      </c>
      <c r="E11" t="str">
        <f>VLOOKUP($A$9,$A15:$K155, 5, FALSE)</f>
        <v>100</v>
      </c>
      <c r="F11">
        <f>VLOOKUP($A$9,$A15:$K155, 6, FALSE)</f>
        <v>0</v>
      </c>
      <c r="G11">
        <f>VLOOKUP($A$9,$A15:$K155, 7, FALSE)</f>
        <v>0</v>
      </c>
      <c r="H11">
        <f>VLOOKUP($A$9,$A15:$K155, 8, FALSE)</f>
        <v>0</v>
      </c>
      <c r="I11">
        <f>VLOOKUP($A$9,$A15:$K155, 9, FALSE)</f>
        <v>0</v>
      </c>
      <c r="J11">
        <f>VLOOKUP($A$9,$A15:$K155, 10, FALSE)</f>
        <v>0</v>
      </c>
      <c r="K11">
        <f>VLOOKUP($A$9,$A15:$K155, 11, FALSE)</f>
        <v>0</v>
      </c>
    </row>
    <row r="13" spans="1:11" x14ac:dyDescent="0.25">
      <c r="A13" t="s">
        <v>142</v>
      </c>
    </row>
    <row r="14" spans="1:11" x14ac:dyDescent="0.25">
      <c r="A14" s="22" t="s">
        <v>45</v>
      </c>
      <c r="B14" t="s">
        <v>143</v>
      </c>
      <c r="C14" t="s">
        <v>144</v>
      </c>
      <c r="D14" t="s">
        <v>7</v>
      </c>
      <c r="E14" t="s">
        <v>145</v>
      </c>
    </row>
    <row r="15" spans="1:11" x14ac:dyDescent="0.25">
      <c r="A15" s="22" t="str">
        <f>[1]Heroes!A1</f>
        <v>Anti-Mage</v>
      </c>
      <c r="B15" s="22" t="str">
        <f>[1]Heroes!B1</f>
        <v>agi</v>
      </c>
      <c r="C15" s="22" t="str">
        <f>[1]Heroes!C1</f>
        <v>Melee</v>
      </c>
      <c r="D15" s="22" t="str">
        <f>[1]Heroes!D1</f>
        <v>1.4</v>
      </c>
      <c r="E15" s="22" t="str">
        <f>[1]Heroes!E1</f>
        <v>100</v>
      </c>
      <c r="F15" s="22">
        <f>[1]Heroes!F1</f>
        <v>0</v>
      </c>
      <c r="G15" s="22">
        <f>[1]Heroes!G1</f>
        <v>0</v>
      </c>
      <c r="H15" s="22">
        <f>[1]Heroes!H1</f>
        <v>0</v>
      </c>
      <c r="I15" s="22">
        <f>[1]Heroes!I1</f>
        <v>0</v>
      </c>
      <c r="J15" s="22">
        <f>[1]Heroes!J1</f>
        <v>0</v>
      </c>
      <c r="K15" s="22">
        <f>[1]Heroes!K1</f>
        <v>0</v>
      </c>
    </row>
    <row r="16" spans="1:11" x14ac:dyDescent="0.25">
      <c r="A16" s="22" t="str">
        <f>[1]Heroes!A2</f>
        <v>Morphling</v>
      </c>
      <c r="B16" s="22" t="str">
        <f>[1]Heroes!B2</f>
        <v>agi</v>
      </c>
      <c r="C16" s="22" t="str">
        <f>[1]Heroes!C2</f>
        <v>Ranged</v>
      </c>
      <c r="D16" s="22" t="str">
        <f>[1]Heroes!D2</f>
        <v>1.5</v>
      </c>
      <c r="E16" s="22" t="str">
        <f>[1]Heroes!E2</f>
        <v>100</v>
      </c>
      <c r="F16" s="22">
        <f>[1]Heroes!F2</f>
        <v>0</v>
      </c>
      <c r="G16" s="22">
        <f>[1]Heroes!G2</f>
        <v>0</v>
      </c>
      <c r="H16" s="22">
        <f>[1]Heroes!H2</f>
        <v>0</v>
      </c>
      <c r="I16" s="22">
        <f>[1]Heroes!I2</f>
        <v>0</v>
      </c>
      <c r="J16" s="22">
        <f>[1]Heroes!J2</f>
        <v>0</v>
      </c>
      <c r="K16" s="22">
        <f>[1]Heroes!K2</f>
        <v>0</v>
      </c>
    </row>
    <row r="17" spans="1:11" x14ac:dyDescent="0.25">
      <c r="A17" s="22" t="str">
        <f>[1]Heroes!A3</f>
        <v>Tusk</v>
      </c>
      <c r="B17" s="22" t="str">
        <f>[1]Heroes!B3</f>
        <v>str</v>
      </c>
      <c r="C17" s="22" t="str">
        <f>[1]Heroes!C3</f>
        <v>Melee</v>
      </c>
      <c r="D17" s="22" t="str">
        <f>[1]Heroes!D3</f>
        <v>1.7</v>
      </c>
      <c r="E17" s="22" t="str">
        <f>[1]Heroes!E3</f>
        <v>100</v>
      </c>
      <c r="F17" s="22">
        <f>[1]Heroes!F3</f>
        <v>0</v>
      </c>
      <c r="G17" s="22">
        <f>[1]Heroes!G3</f>
        <v>0</v>
      </c>
      <c r="H17" s="22">
        <f>[1]Heroes!H3</f>
        <v>0</v>
      </c>
      <c r="I17" s="22">
        <f>[1]Heroes!I3</f>
        <v>0</v>
      </c>
      <c r="J17" s="22">
        <f>[1]Heroes!J3</f>
        <v>0</v>
      </c>
      <c r="K17" s="22">
        <f>[1]Heroes!K3</f>
        <v>0</v>
      </c>
    </row>
    <row r="18" spans="1:11" x14ac:dyDescent="0.25">
      <c r="A18" s="22" t="str">
        <f>[1]Heroes!A4</f>
        <v>Skywrath Mage</v>
      </c>
      <c r="B18" s="22" t="str">
        <f>[1]Heroes!B4</f>
        <v>int</v>
      </c>
      <c r="C18" s="22" t="str">
        <f>[1]Heroes!C4</f>
        <v>Ranged</v>
      </c>
      <c r="D18" s="22" t="str">
        <f>[1]Heroes!D4</f>
        <v>1.7</v>
      </c>
      <c r="E18" s="22" t="str">
        <f>[1]Heroes!E4</f>
        <v>100</v>
      </c>
      <c r="F18" s="22">
        <f>[1]Heroes!F4</f>
        <v>0</v>
      </c>
      <c r="G18" s="22">
        <f>[1]Heroes!G4</f>
        <v>0</v>
      </c>
      <c r="H18" s="22">
        <f>[1]Heroes!H4</f>
        <v>0</v>
      </c>
      <c r="I18" s="22">
        <f>[1]Heroes!I4</f>
        <v>0</v>
      </c>
      <c r="J18" s="22">
        <f>[1]Heroes!J4</f>
        <v>0</v>
      </c>
      <c r="K18" s="22">
        <f>[1]Heroes!K4</f>
        <v>0</v>
      </c>
    </row>
    <row r="19" spans="1:11" x14ac:dyDescent="0.25">
      <c r="A19" s="22" t="str">
        <f>[1]Heroes!A5</f>
        <v>Abaddon</v>
      </c>
      <c r="B19" s="22" t="str">
        <f>[1]Heroes!B5</f>
        <v>str</v>
      </c>
      <c r="C19" s="22" t="str">
        <f>[1]Heroes!C5</f>
        <v>Melee</v>
      </c>
      <c r="D19" s="22" t="str">
        <f>[1]Heroes!D5</f>
        <v>1.7</v>
      </c>
      <c r="E19" s="22" t="str">
        <f>[1]Heroes!E5</f>
        <v>100</v>
      </c>
      <c r="F19" s="22">
        <f>[1]Heroes!F5</f>
        <v>0</v>
      </c>
      <c r="G19" s="22">
        <f>[1]Heroes!G5</f>
        <v>0</v>
      </c>
      <c r="H19" s="22">
        <f>[1]Heroes!H5</f>
        <v>0</v>
      </c>
      <c r="I19" s="22">
        <f>[1]Heroes!I5</f>
        <v>0</v>
      </c>
      <c r="J19" s="22">
        <f>[1]Heroes!J5</f>
        <v>0</v>
      </c>
      <c r="K19" s="22">
        <f>[1]Heroes!K5</f>
        <v>0</v>
      </c>
    </row>
    <row r="20" spans="1:11" x14ac:dyDescent="0.25">
      <c r="A20" s="22" t="str">
        <f>[1]Heroes!A6</f>
        <v>Elder Titan</v>
      </c>
      <c r="B20" s="22" t="str">
        <f>[1]Heroes!B6</f>
        <v>str</v>
      </c>
      <c r="C20" s="22" t="str">
        <f>[1]Heroes!C6</f>
        <v>Melee</v>
      </c>
      <c r="D20" s="22" t="str">
        <f>[1]Heroes!D6</f>
        <v>1.7</v>
      </c>
      <c r="E20" s="22" t="str">
        <f>[1]Heroes!E6</f>
        <v>100</v>
      </c>
      <c r="F20" s="22">
        <f>[1]Heroes!F6</f>
        <v>0</v>
      </c>
      <c r="G20" s="22">
        <f>[1]Heroes!G6</f>
        <v>0</v>
      </c>
      <c r="H20" s="22">
        <f>[1]Heroes!H6</f>
        <v>0</v>
      </c>
      <c r="I20" s="22">
        <f>[1]Heroes!I6</f>
        <v>0</v>
      </c>
      <c r="J20" s="22">
        <f>[1]Heroes!J6</f>
        <v>0</v>
      </c>
      <c r="K20" s="22">
        <f>[1]Heroes!K6</f>
        <v>0</v>
      </c>
    </row>
    <row r="21" spans="1:11" x14ac:dyDescent="0.25">
      <c r="A21" s="22" t="str">
        <f>[1]Heroes!A7</f>
        <v>Legion Commander</v>
      </c>
      <c r="B21" s="22" t="str">
        <f>[1]Heroes!B7</f>
        <v>str</v>
      </c>
      <c r="C21" s="22" t="str">
        <f>[1]Heroes!C7</f>
        <v>Melee</v>
      </c>
      <c r="D21" s="22" t="str">
        <f>[1]Heroes!D7</f>
        <v>1.7</v>
      </c>
      <c r="E21" s="22" t="str">
        <f>[1]Heroes!E7</f>
        <v>100</v>
      </c>
      <c r="F21" s="22">
        <f>[1]Heroes!F7</f>
        <v>0</v>
      </c>
      <c r="G21" s="22">
        <f>[1]Heroes!G7</f>
        <v>0</v>
      </c>
      <c r="H21" s="22">
        <f>[1]Heroes!H7</f>
        <v>0</v>
      </c>
      <c r="I21" s="22">
        <f>[1]Heroes!I7</f>
        <v>0</v>
      </c>
      <c r="J21" s="22">
        <f>[1]Heroes!J7</f>
        <v>0</v>
      </c>
      <c r="K21" s="22">
        <f>[1]Heroes!K7</f>
        <v>0</v>
      </c>
    </row>
    <row r="22" spans="1:11" x14ac:dyDescent="0.25">
      <c r="A22" s="22" t="str">
        <f>[1]Heroes!A8</f>
        <v>Techies</v>
      </c>
      <c r="B22" s="22" t="str">
        <f>[1]Heroes!B8</f>
        <v>int</v>
      </c>
      <c r="C22" s="22" t="str">
        <f>[1]Heroes!C8</f>
        <v>Ranged</v>
      </c>
      <c r="D22" s="22" t="str">
        <f>[1]Heroes!D8</f>
        <v>1.7</v>
      </c>
      <c r="E22" s="22" t="str">
        <f>[1]Heroes!E8</f>
        <v>100</v>
      </c>
      <c r="F22" s="22">
        <f>[1]Heroes!F8</f>
        <v>0</v>
      </c>
      <c r="G22" s="22">
        <f>[1]Heroes!G8</f>
        <v>0</v>
      </c>
      <c r="H22" s="22">
        <f>[1]Heroes!H8</f>
        <v>0</v>
      </c>
      <c r="I22" s="22">
        <f>[1]Heroes!I8</f>
        <v>0</v>
      </c>
      <c r="J22" s="22">
        <f>[1]Heroes!J8</f>
        <v>0</v>
      </c>
      <c r="K22" s="22">
        <f>[1]Heroes!K8</f>
        <v>0</v>
      </c>
    </row>
    <row r="23" spans="1:11" x14ac:dyDescent="0.25">
      <c r="A23" s="22" t="str">
        <f>[1]Heroes!A9</f>
        <v>Ember Spirit</v>
      </c>
      <c r="B23" s="22" t="str">
        <f>[1]Heroes!B9</f>
        <v>agi</v>
      </c>
      <c r="C23" s="22" t="str">
        <f>[1]Heroes!C9</f>
        <v>Melee</v>
      </c>
      <c r="D23" s="22" t="str">
        <f>[1]Heroes!D9</f>
        <v>1.7</v>
      </c>
      <c r="E23" s="22" t="str">
        <f>[1]Heroes!E9</f>
        <v>100</v>
      </c>
      <c r="F23" s="22">
        <f>[1]Heroes!F9</f>
        <v>0</v>
      </c>
      <c r="G23" s="22">
        <f>[1]Heroes!G9</f>
        <v>0</v>
      </c>
      <c r="H23" s="22">
        <f>[1]Heroes!H9</f>
        <v>0</v>
      </c>
      <c r="I23" s="22">
        <f>[1]Heroes!I9</f>
        <v>0</v>
      </c>
      <c r="J23" s="22">
        <f>[1]Heroes!J9</f>
        <v>0</v>
      </c>
      <c r="K23" s="22">
        <f>[1]Heroes!K9</f>
        <v>0</v>
      </c>
    </row>
    <row r="24" spans="1:11" x14ac:dyDescent="0.25">
      <c r="A24" s="22" t="str">
        <f>[1]Heroes!A10</f>
        <v>Earth Spirit</v>
      </c>
      <c r="B24" s="22" t="str">
        <f>[1]Heroes!B10</f>
        <v>str</v>
      </c>
      <c r="C24" s="22" t="str">
        <f>[1]Heroes!C10</f>
        <v>Melee</v>
      </c>
      <c r="D24" s="22" t="str">
        <f>[1]Heroes!D10</f>
        <v>1.7</v>
      </c>
      <c r="E24" s="22" t="str">
        <f>[1]Heroes!E10</f>
        <v>100</v>
      </c>
      <c r="F24" s="22">
        <f>[1]Heroes!F10</f>
        <v>0</v>
      </c>
      <c r="G24" s="22">
        <f>[1]Heroes!G10</f>
        <v>0</v>
      </c>
      <c r="H24" s="22">
        <f>[1]Heroes!H10</f>
        <v>0</v>
      </c>
      <c r="I24" s="22">
        <f>[1]Heroes!I10</f>
        <v>0</v>
      </c>
      <c r="J24" s="22">
        <f>[1]Heroes!J10</f>
        <v>0</v>
      </c>
      <c r="K24" s="22">
        <f>[1]Heroes!K10</f>
        <v>0</v>
      </c>
    </row>
    <row r="25" spans="1:11" x14ac:dyDescent="0.25">
      <c r="A25" s="22" t="str">
        <f>[1]Heroes!A11</f>
        <v>Underlord</v>
      </c>
      <c r="B25" s="22" t="str">
        <f>[1]Heroes!B11</f>
        <v>str</v>
      </c>
      <c r="C25" s="22" t="str">
        <f>[1]Heroes!C11</f>
        <v>Melee</v>
      </c>
      <c r="D25" s="22" t="str">
        <f>[1]Heroes!D11</f>
        <v>1.7</v>
      </c>
      <c r="E25" s="22" t="str">
        <f>[1]Heroes!E11</f>
        <v>100</v>
      </c>
      <c r="F25" s="22">
        <f>[1]Heroes!F11</f>
        <v>0</v>
      </c>
      <c r="G25" s="22">
        <f>[1]Heroes!G11</f>
        <v>0</v>
      </c>
      <c r="H25" s="22">
        <f>[1]Heroes!H11</f>
        <v>0</v>
      </c>
      <c r="I25" s="22">
        <f>[1]Heroes!I11</f>
        <v>0</v>
      </c>
      <c r="J25" s="22">
        <f>[1]Heroes!J11</f>
        <v>0</v>
      </c>
      <c r="K25" s="22">
        <f>[1]Heroes!K11</f>
        <v>0</v>
      </c>
    </row>
    <row r="26" spans="1:11" x14ac:dyDescent="0.25">
      <c r="A26" s="22" t="str">
        <f>[1]Heroes!A12</f>
        <v>Terrorblade</v>
      </c>
      <c r="B26" s="22" t="str">
        <f>[1]Heroes!B12</f>
        <v>agi</v>
      </c>
      <c r="C26" s="22" t="str">
        <f>[1]Heroes!C12</f>
        <v>Melee</v>
      </c>
      <c r="D26" s="22" t="str">
        <f>[1]Heroes!D12</f>
        <v>1.5</v>
      </c>
      <c r="E26" s="22" t="str">
        <f>[1]Heroes!E12</f>
        <v>100</v>
      </c>
      <c r="F26" s="22">
        <f>[1]Heroes!F12</f>
        <v>0</v>
      </c>
      <c r="G26" s="22">
        <f>[1]Heroes!G12</f>
        <v>0</v>
      </c>
      <c r="H26" s="22">
        <f>[1]Heroes!H12</f>
        <v>0</v>
      </c>
      <c r="I26" s="22">
        <f>[1]Heroes!I12</f>
        <v>0</v>
      </c>
      <c r="J26" s="22">
        <f>[1]Heroes!J12</f>
        <v>0</v>
      </c>
      <c r="K26" s="22">
        <f>[1]Heroes!K12</f>
        <v>0</v>
      </c>
    </row>
    <row r="27" spans="1:11" x14ac:dyDescent="0.25">
      <c r="A27" s="22" t="str">
        <f>[1]Heroes!A13</f>
        <v>Shadow Fiend</v>
      </c>
      <c r="B27" s="22" t="str">
        <f>[1]Heroes!B13</f>
        <v>agi</v>
      </c>
      <c r="C27" s="22" t="str">
        <f>[1]Heroes!C13</f>
        <v>Ranged</v>
      </c>
      <c r="D27" s="22" t="str">
        <f>[1]Heroes!D13</f>
        <v>1.6</v>
      </c>
      <c r="E27" s="22" t="str">
        <f>[1]Heroes!E13</f>
        <v>100</v>
      </c>
      <c r="F27" s="22">
        <f>[1]Heroes!F13</f>
        <v>0</v>
      </c>
      <c r="G27" s="22">
        <f>[1]Heroes!G13</f>
        <v>0</v>
      </c>
      <c r="H27" s="22">
        <f>[1]Heroes!H13</f>
        <v>0</v>
      </c>
      <c r="I27" s="22">
        <f>[1]Heroes!I13</f>
        <v>0</v>
      </c>
      <c r="J27" s="22">
        <f>[1]Heroes!J13</f>
        <v>0</v>
      </c>
      <c r="K27" s="22">
        <f>[1]Heroes!K13</f>
        <v>0</v>
      </c>
    </row>
    <row r="28" spans="1:11" x14ac:dyDescent="0.25">
      <c r="A28" s="22" t="str">
        <f>[1]Heroes!A14</f>
        <v>Phoenix</v>
      </c>
      <c r="B28" s="22" t="str">
        <f>[1]Heroes!B14</f>
        <v>str</v>
      </c>
      <c r="C28" s="22" t="str">
        <f>[1]Heroes!C14</f>
        <v>Ranged</v>
      </c>
      <c r="D28" s="22" t="str">
        <f>[1]Heroes!D14</f>
        <v>1.7</v>
      </c>
      <c r="E28" s="22" t="str">
        <f>[1]Heroes!E14</f>
        <v>100</v>
      </c>
      <c r="F28" s="22">
        <f>[1]Heroes!F14</f>
        <v>0</v>
      </c>
      <c r="G28" s="22">
        <f>[1]Heroes!G14</f>
        <v>0</v>
      </c>
      <c r="H28" s="22">
        <f>[1]Heroes!H14</f>
        <v>0</v>
      </c>
      <c r="I28" s="22">
        <f>[1]Heroes!I14</f>
        <v>0</v>
      </c>
      <c r="J28" s="22">
        <f>[1]Heroes!J14</f>
        <v>0</v>
      </c>
      <c r="K28" s="22">
        <f>[1]Heroes!K14</f>
        <v>0</v>
      </c>
    </row>
    <row r="29" spans="1:11" x14ac:dyDescent="0.25">
      <c r="A29" s="22" t="str">
        <f>[1]Heroes!A15</f>
        <v>Oracle</v>
      </c>
      <c r="B29" s="22" t="str">
        <f>[1]Heroes!B15</f>
        <v>int</v>
      </c>
      <c r="C29" s="22" t="str">
        <f>[1]Heroes!C15</f>
        <v>Ranged</v>
      </c>
      <c r="D29" s="22" t="str">
        <f>[1]Heroes!D15</f>
        <v>1.7</v>
      </c>
      <c r="E29" s="22" t="str">
        <f>[1]Heroes!E15</f>
        <v>100</v>
      </c>
      <c r="F29" s="22">
        <f>[1]Heroes!F15</f>
        <v>0</v>
      </c>
      <c r="G29" s="22">
        <f>[1]Heroes!G15</f>
        <v>0</v>
      </c>
      <c r="H29" s="22">
        <f>[1]Heroes!H15</f>
        <v>0</v>
      </c>
      <c r="I29" s="22">
        <f>[1]Heroes!I15</f>
        <v>0</v>
      </c>
      <c r="J29" s="22">
        <f>[1]Heroes!J15</f>
        <v>0</v>
      </c>
      <c r="K29" s="22">
        <f>[1]Heroes!K15</f>
        <v>0</v>
      </c>
    </row>
    <row r="30" spans="1:11" x14ac:dyDescent="0.25">
      <c r="A30" s="22" t="str">
        <f>[1]Heroes!A16</f>
        <v>Winter Wyvern</v>
      </c>
      <c r="B30" s="22" t="str">
        <f>[1]Heroes!B16</f>
        <v>int</v>
      </c>
      <c r="C30" s="22" t="str">
        <f>[1]Heroes!C16</f>
        <v>Ranged</v>
      </c>
      <c r="D30" s="22" t="str">
        <f>[1]Heroes!D16</f>
        <v>1.7</v>
      </c>
      <c r="E30" s="22" t="str">
        <f>[1]Heroes!E16</f>
        <v>100</v>
      </c>
      <c r="F30" s="22">
        <f>[1]Heroes!F16</f>
        <v>0</v>
      </c>
      <c r="G30" s="22">
        <f>[1]Heroes!G16</f>
        <v>0</v>
      </c>
      <c r="H30" s="22">
        <f>[1]Heroes!H16</f>
        <v>0</v>
      </c>
      <c r="I30" s="22">
        <f>[1]Heroes!I16</f>
        <v>0</v>
      </c>
      <c r="J30" s="22">
        <f>[1]Heroes!J16</f>
        <v>0</v>
      </c>
      <c r="K30" s="22">
        <f>[1]Heroes!K16</f>
        <v>0</v>
      </c>
    </row>
    <row r="31" spans="1:11" x14ac:dyDescent="0.25">
      <c r="A31" s="22" t="str">
        <f>[1]Heroes!A17</f>
        <v>Arc Warden</v>
      </c>
      <c r="B31" s="22" t="str">
        <f>[1]Heroes!B17</f>
        <v>agi</v>
      </c>
      <c r="C31" s="22" t="str">
        <f>[1]Heroes!C17</f>
        <v>Ranged</v>
      </c>
      <c r="D31" s="22" t="str">
        <f>[1]Heroes!D17</f>
        <v>1.7</v>
      </c>
      <c r="E31" s="22" t="str">
        <f>[1]Heroes!E17</f>
        <v>100</v>
      </c>
      <c r="F31" s="22">
        <f>[1]Heroes!F17</f>
        <v>0</v>
      </c>
      <c r="G31" s="22">
        <f>[1]Heroes!G17</f>
        <v>0</v>
      </c>
      <c r="H31" s="22">
        <f>[1]Heroes!H17</f>
        <v>0</v>
      </c>
      <c r="I31" s="22">
        <f>[1]Heroes!I17</f>
        <v>0</v>
      </c>
      <c r="J31" s="22">
        <f>[1]Heroes!J17</f>
        <v>0</v>
      </c>
      <c r="K31" s="22">
        <f>[1]Heroes!K17</f>
        <v>0</v>
      </c>
    </row>
    <row r="32" spans="1:11" x14ac:dyDescent="0.25">
      <c r="A32" s="22" t="str">
        <f>[1]Heroes!A18</f>
        <v>Monkey King</v>
      </c>
      <c r="B32" s="22" t="str">
        <f>[1]Heroes!B18</f>
        <v>agi</v>
      </c>
      <c r="C32" s="22" t="str">
        <f>[1]Heroes!C18</f>
        <v>Melee</v>
      </c>
      <c r="D32" s="22" t="str">
        <f>[1]Heroes!D18</f>
        <v>1.7</v>
      </c>
      <c r="E32" s="22" t="str">
        <f>[1]Heroes!E18</f>
        <v>100</v>
      </c>
      <c r="F32" s="22">
        <f>[1]Heroes!F18</f>
        <v>0</v>
      </c>
      <c r="G32" s="22">
        <f>[1]Heroes!G18</f>
        <v>0</v>
      </c>
      <c r="H32" s="22">
        <f>[1]Heroes!H18</f>
        <v>0</v>
      </c>
      <c r="I32" s="22">
        <f>[1]Heroes!I18</f>
        <v>0</v>
      </c>
      <c r="J32" s="22">
        <f>[1]Heroes!J18</f>
        <v>0</v>
      </c>
      <c r="K32" s="22">
        <f>[1]Heroes!K18</f>
        <v>0</v>
      </c>
    </row>
    <row r="33" spans="1:11" x14ac:dyDescent="0.25">
      <c r="A33" s="22" t="str">
        <f>[1]Heroes!A19</f>
        <v>Dark Willow</v>
      </c>
      <c r="B33" s="22" t="str">
        <f>[1]Heroes!B19</f>
        <v>int</v>
      </c>
      <c r="C33" s="22" t="str">
        <f>[1]Heroes!C19</f>
        <v>Ranged</v>
      </c>
      <c r="D33" s="22" t="str">
        <f>[1]Heroes!D19</f>
        <v>1.5</v>
      </c>
      <c r="E33" s="22" t="str">
        <f>[1]Heroes!E19</f>
        <v>100</v>
      </c>
      <c r="F33" s="22">
        <f>[1]Heroes!F19</f>
        <v>0</v>
      </c>
      <c r="G33" s="22">
        <f>[1]Heroes!G19</f>
        <v>0</v>
      </c>
      <c r="H33" s="22">
        <f>[1]Heroes!H19</f>
        <v>0</v>
      </c>
      <c r="I33" s="22">
        <f>[1]Heroes!I19</f>
        <v>0</v>
      </c>
      <c r="J33" s="22">
        <f>[1]Heroes!J19</f>
        <v>0</v>
      </c>
      <c r="K33" s="22">
        <f>[1]Heroes!K19</f>
        <v>0</v>
      </c>
    </row>
    <row r="34" spans="1:11" x14ac:dyDescent="0.25">
      <c r="A34" s="22" t="str">
        <f>[1]Heroes!A20</f>
        <v>Phantom Lancer</v>
      </c>
      <c r="B34" s="22" t="str">
        <f>[1]Heroes!B20</f>
        <v>agi</v>
      </c>
      <c r="C34" s="22" t="str">
        <f>[1]Heroes!C20</f>
        <v>Melee</v>
      </c>
      <c r="D34" s="22" t="str">
        <f>[1]Heroes!D20</f>
        <v>1.7</v>
      </c>
      <c r="E34" s="22" t="str">
        <f>[1]Heroes!E20</f>
        <v>100</v>
      </c>
      <c r="F34" s="22">
        <f>[1]Heroes!F20</f>
        <v>0</v>
      </c>
      <c r="G34" s="22">
        <f>[1]Heroes!G20</f>
        <v>0</v>
      </c>
      <c r="H34" s="22">
        <f>[1]Heroes!H20</f>
        <v>0</v>
      </c>
      <c r="I34" s="22">
        <f>[1]Heroes!I20</f>
        <v>0</v>
      </c>
      <c r="J34" s="22">
        <f>[1]Heroes!J20</f>
        <v>0</v>
      </c>
      <c r="K34" s="22">
        <f>[1]Heroes!K20</f>
        <v>0</v>
      </c>
    </row>
    <row r="35" spans="1:11" x14ac:dyDescent="0.25">
      <c r="A35" s="22" t="str">
        <f>[1]Heroes!A21</f>
        <v>Pangolier</v>
      </c>
      <c r="B35" s="22" t="str">
        <f>[1]Heroes!B21</f>
        <v>agi</v>
      </c>
      <c r="C35" s="22" t="str">
        <f>[1]Heroes!C21</f>
        <v>Melee</v>
      </c>
      <c r="D35" s="22" t="str">
        <f>[1]Heroes!D21</f>
        <v>1.7</v>
      </c>
      <c r="E35" s="22" t="str">
        <f>[1]Heroes!E21</f>
        <v>100</v>
      </c>
      <c r="F35" s="22">
        <f>[1]Heroes!F21</f>
        <v>0</v>
      </c>
      <c r="G35" s="22">
        <f>[1]Heroes!G21</f>
        <v>0</v>
      </c>
      <c r="H35" s="22">
        <f>[1]Heroes!H21</f>
        <v>0</v>
      </c>
      <c r="I35" s="22">
        <f>[1]Heroes!I21</f>
        <v>0</v>
      </c>
      <c r="J35" s="22">
        <f>[1]Heroes!J21</f>
        <v>0</v>
      </c>
      <c r="K35" s="22">
        <f>[1]Heroes!K21</f>
        <v>0</v>
      </c>
    </row>
    <row r="36" spans="1:11" x14ac:dyDescent="0.25">
      <c r="A36" s="22" t="str">
        <f>[1]Heroes!A22</f>
        <v>Grimstroke</v>
      </c>
      <c r="B36" s="22" t="str">
        <f>[1]Heroes!B22</f>
        <v>int</v>
      </c>
      <c r="C36" s="22" t="str">
        <f>[1]Heroes!C22</f>
        <v>Ranged</v>
      </c>
      <c r="D36" s="22" t="str">
        <f>[1]Heroes!D22</f>
        <v>1.7</v>
      </c>
      <c r="E36" s="22" t="str">
        <f>[1]Heroes!E22</f>
        <v>100</v>
      </c>
      <c r="F36" s="22">
        <f>[1]Heroes!F22</f>
        <v>0</v>
      </c>
      <c r="G36" s="22">
        <f>[1]Heroes!G22</f>
        <v>0</v>
      </c>
      <c r="H36" s="22">
        <f>[1]Heroes!H22</f>
        <v>0</v>
      </c>
      <c r="I36" s="22">
        <f>[1]Heroes!I22</f>
        <v>0</v>
      </c>
      <c r="J36" s="22">
        <f>[1]Heroes!J22</f>
        <v>0</v>
      </c>
      <c r="K36" s="22">
        <f>[1]Heroes!K22</f>
        <v>0</v>
      </c>
    </row>
    <row r="37" spans="1:11" x14ac:dyDescent="0.25">
      <c r="A37" s="22" t="str">
        <f>[1]Heroes!A23</f>
        <v>Hoodwink</v>
      </c>
      <c r="B37" s="22" t="str">
        <f>[1]Heroes!B23</f>
        <v>agi</v>
      </c>
      <c r="C37" s="22" t="str">
        <f>[1]Heroes!C23</f>
        <v>Ranged</v>
      </c>
      <c r="D37" s="22" t="str">
        <f>[1]Heroes!D23</f>
        <v>2</v>
      </c>
      <c r="E37" s="22" t="str">
        <f>[1]Heroes!E23</f>
        <v>100</v>
      </c>
      <c r="F37" s="22">
        <f>[1]Heroes!F23</f>
        <v>0</v>
      </c>
      <c r="G37" s="22">
        <f>[1]Heroes!G23</f>
        <v>0</v>
      </c>
      <c r="H37" s="22">
        <f>[1]Heroes!H23</f>
        <v>0</v>
      </c>
      <c r="I37" s="22">
        <f>[1]Heroes!I23</f>
        <v>0</v>
      </c>
      <c r="J37" s="22">
        <f>[1]Heroes!J23</f>
        <v>0</v>
      </c>
      <c r="K37" s="22">
        <f>[1]Heroes!K23</f>
        <v>0</v>
      </c>
    </row>
    <row r="38" spans="1:11" x14ac:dyDescent="0.25">
      <c r="A38" s="22" t="str">
        <f>[1]Heroes!A24</f>
        <v>Void Spirit</v>
      </c>
      <c r="B38" s="22" t="str">
        <f>[1]Heroes!B24</f>
        <v>int</v>
      </c>
      <c r="C38" s="22" t="str">
        <f>[1]Heroes!C24</f>
        <v>Melee</v>
      </c>
      <c r="D38" s="22" t="str">
        <f>[1]Heroes!D24</f>
        <v>1.7</v>
      </c>
      <c r="E38" s="22" t="str">
        <f>[1]Heroes!E24</f>
        <v>100</v>
      </c>
      <c r="F38" s="22">
        <f>[1]Heroes!F24</f>
        <v>0</v>
      </c>
      <c r="G38" s="22">
        <f>[1]Heroes!G24</f>
        <v>0</v>
      </c>
      <c r="H38" s="22">
        <f>[1]Heroes!H24</f>
        <v>0</v>
      </c>
      <c r="I38" s="22">
        <f>[1]Heroes!I24</f>
        <v>0</v>
      </c>
      <c r="J38" s="22">
        <f>[1]Heroes!J24</f>
        <v>0</v>
      </c>
      <c r="K38" s="22">
        <f>[1]Heroes!K24</f>
        <v>0</v>
      </c>
    </row>
    <row r="39" spans="1:11" x14ac:dyDescent="0.25">
      <c r="A39" s="22" t="str">
        <f>[1]Heroes!A25</f>
        <v>Snapfire</v>
      </c>
      <c r="B39" s="22" t="str">
        <f>[1]Heroes!B25</f>
        <v>str</v>
      </c>
      <c r="C39" s="22" t="str">
        <f>[1]Heroes!C25</f>
        <v>Ranged</v>
      </c>
      <c r="D39" s="22" t="str">
        <f>[1]Heroes!D25</f>
        <v>1.6</v>
      </c>
      <c r="E39" s="22" t="str">
        <f>[1]Heroes!E25</f>
        <v>100</v>
      </c>
      <c r="F39" s="22">
        <f>[1]Heroes!F25</f>
        <v>0</v>
      </c>
      <c r="G39" s="22">
        <f>[1]Heroes!G25</f>
        <v>0</v>
      </c>
      <c r="H39" s="22">
        <f>[1]Heroes!H25</f>
        <v>0</v>
      </c>
      <c r="I39" s="22">
        <f>[1]Heroes!I25</f>
        <v>0</v>
      </c>
      <c r="J39" s="22">
        <f>[1]Heroes!J25</f>
        <v>0</v>
      </c>
      <c r="K39" s="22">
        <f>[1]Heroes!K25</f>
        <v>0</v>
      </c>
    </row>
    <row r="40" spans="1:11" x14ac:dyDescent="0.25">
      <c r="A40" s="22" t="str">
        <f>[1]Heroes!A26</f>
        <v>Mars</v>
      </c>
      <c r="B40" s="22" t="str">
        <f>[1]Heroes!B26</f>
        <v>str</v>
      </c>
      <c r="C40" s="22" t="str">
        <f>[1]Heroes!C26</f>
        <v>Melee</v>
      </c>
      <c r="D40" s="22" t="str">
        <f>[1]Heroes!D26</f>
        <v>1.8</v>
      </c>
      <c r="E40" s="22" t="str">
        <f>[1]Heroes!E26</f>
        <v>100</v>
      </c>
      <c r="F40" s="22">
        <f>[1]Heroes!F26</f>
        <v>0</v>
      </c>
      <c r="G40" s="22">
        <f>[1]Heroes!G26</f>
        <v>0</v>
      </c>
      <c r="H40" s="22">
        <f>[1]Heroes!H26</f>
        <v>0</v>
      </c>
      <c r="I40" s="22">
        <f>[1]Heroes!I26</f>
        <v>0</v>
      </c>
      <c r="J40" s="22">
        <f>[1]Heroes!J26</f>
        <v>0</v>
      </c>
      <c r="K40" s="22">
        <f>[1]Heroes!K26</f>
        <v>0</v>
      </c>
    </row>
    <row r="41" spans="1:11" x14ac:dyDescent="0.25">
      <c r="A41" s="22" t="str">
        <f>[1]Heroes!A27</f>
        <v>Puck</v>
      </c>
      <c r="B41" s="22" t="str">
        <f>[1]Heroes!B27</f>
        <v>int</v>
      </c>
      <c r="C41" s="22" t="str">
        <f>[1]Heroes!C27</f>
        <v>Ranged</v>
      </c>
      <c r="D41" s="22" t="str">
        <f>[1]Heroes!D27</f>
        <v>1.7</v>
      </c>
      <c r="E41" s="22" t="str">
        <f>[1]Heroes!E27</f>
        <v>100</v>
      </c>
      <c r="F41" s="22">
        <f>[1]Heroes!F27</f>
        <v>0</v>
      </c>
      <c r="G41" s="22">
        <f>[1]Heroes!G27</f>
        <v>0</v>
      </c>
      <c r="H41" s="22">
        <f>[1]Heroes!H27</f>
        <v>0</v>
      </c>
      <c r="I41" s="22">
        <f>[1]Heroes!I27</f>
        <v>0</v>
      </c>
      <c r="J41" s="22">
        <f>[1]Heroes!J27</f>
        <v>0</v>
      </c>
      <c r="K41" s="22">
        <f>[1]Heroes!K27</f>
        <v>0</v>
      </c>
    </row>
    <row r="42" spans="1:11" x14ac:dyDescent="0.25">
      <c r="A42" s="22" t="str">
        <f>[1]Heroes!A28</f>
        <v>Dawnbreaker</v>
      </c>
      <c r="B42" s="22" t="str">
        <f>[1]Heroes!B28</f>
        <v>str</v>
      </c>
      <c r="C42" s="22" t="str">
        <f>[1]Heroes!C28</f>
        <v>Melee</v>
      </c>
      <c r="D42" s="22" t="str">
        <f>[1]Heroes!D28</f>
        <v>1.7</v>
      </c>
      <c r="E42" s="22" t="str">
        <f>[1]Heroes!E28</f>
        <v>100</v>
      </c>
      <c r="F42" s="22">
        <f>[1]Heroes!F28</f>
        <v>0</v>
      </c>
      <c r="G42" s="22">
        <f>[1]Heroes!G28</f>
        <v>0</v>
      </c>
      <c r="H42" s="22">
        <f>[1]Heroes!H28</f>
        <v>0</v>
      </c>
      <c r="I42" s="22">
        <f>[1]Heroes!I28</f>
        <v>0</v>
      </c>
      <c r="J42" s="22">
        <f>[1]Heroes!J28</f>
        <v>0</v>
      </c>
      <c r="K42" s="22">
        <f>[1]Heroes!K28</f>
        <v>0</v>
      </c>
    </row>
    <row r="43" spans="1:11" x14ac:dyDescent="0.25">
      <c r="A43" s="22" t="str">
        <f>[1]Heroes!A29</f>
        <v>Marci</v>
      </c>
      <c r="B43" s="22" t="str">
        <f>[1]Heroes!B29</f>
        <v>str</v>
      </c>
      <c r="C43" s="22" t="str">
        <f>[1]Heroes!C29</f>
        <v>Melee</v>
      </c>
      <c r="D43" s="22" t="str">
        <f>[1]Heroes!D29</f>
        <v>1.7</v>
      </c>
      <c r="E43" s="22" t="str">
        <f>[1]Heroes!E29</f>
        <v>100</v>
      </c>
      <c r="F43" s="22">
        <f>[1]Heroes!F29</f>
        <v>0</v>
      </c>
      <c r="G43" s="22">
        <f>[1]Heroes!G29</f>
        <v>0</v>
      </c>
      <c r="H43" s="22">
        <f>[1]Heroes!H29</f>
        <v>0</v>
      </c>
      <c r="I43" s="22">
        <f>[1]Heroes!I29</f>
        <v>0</v>
      </c>
      <c r="J43" s="22">
        <f>[1]Heroes!J29</f>
        <v>0</v>
      </c>
      <c r="K43" s="22">
        <f>[1]Heroes!K29</f>
        <v>0</v>
      </c>
    </row>
    <row r="44" spans="1:11" x14ac:dyDescent="0.25">
      <c r="A44" s="22" t="str">
        <f>[1]Heroes!A30</f>
        <v>Primal Beast</v>
      </c>
      <c r="B44" s="22" t="str">
        <f>[1]Heroes!B30</f>
        <v>str</v>
      </c>
      <c r="C44" s="22" t="str">
        <f>[1]Heroes!C30</f>
        <v>Melee</v>
      </c>
      <c r="D44" s="22" t="str">
        <f>[1]Heroes!D30</f>
        <v>1.8</v>
      </c>
      <c r="E44" s="22" t="str">
        <f>[1]Heroes!E30</f>
        <v>100</v>
      </c>
      <c r="F44" s="22">
        <f>[1]Heroes!F30</f>
        <v>0</v>
      </c>
      <c r="G44" s="22">
        <f>[1]Heroes!G30</f>
        <v>0</v>
      </c>
      <c r="H44" s="22">
        <f>[1]Heroes!H30</f>
        <v>0</v>
      </c>
      <c r="I44" s="22">
        <f>[1]Heroes!I30</f>
        <v>0</v>
      </c>
      <c r="J44" s="22">
        <f>[1]Heroes!J30</f>
        <v>0</v>
      </c>
      <c r="K44" s="22">
        <f>[1]Heroes!K30</f>
        <v>0</v>
      </c>
    </row>
    <row r="45" spans="1:11" x14ac:dyDescent="0.25">
      <c r="A45" s="22" t="str">
        <f>[1]Heroes!A31</f>
        <v>Pudge</v>
      </c>
      <c r="B45" s="22" t="str">
        <f>[1]Heroes!B31</f>
        <v>str</v>
      </c>
      <c r="C45" s="22" t="str">
        <f>[1]Heroes!C31</f>
        <v>Melee</v>
      </c>
      <c r="D45" s="22" t="str">
        <f>[1]Heroes!D31</f>
        <v>1.7</v>
      </c>
      <c r="E45" s="22" t="str">
        <f>[1]Heroes!E31</f>
        <v>100</v>
      </c>
      <c r="F45" s="22">
        <f>[1]Heroes!F31</f>
        <v>0</v>
      </c>
      <c r="G45" s="22">
        <f>[1]Heroes!G31</f>
        <v>0</v>
      </c>
      <c r="H45" s="22">
        <f>[1]Heroes!H31</f>
        <v>0</v>
      </c>
      <c r="I45" s="22">
        <f>[1]Heroes!I31</f>
        <v>0</v>
      </c>
      <c r="J45" s="22">
        <f>[1]Heroes!J31</f>
        <v>0</v>
      </c>
      <c r="K45" s="22">
        <f>[1]Heroes!K31</f>
        <v>0</v>
      </c>
    </row>
    <row r="46" spans="1:11" x14ac:dyDescent="0.25">
      <c r="A46" s="22" t="str">
        <f>[1]Heroes!A32</f>
        <v>Razor</v>
      </c>
      <c r="B46" s="22" t="str">
        <f>[1]Heroes!B32</f>
        <v>agi</v>
      </c>
      <c r="C46" s="22" t="str">
        <f>[1]Heroes!C32</f>
        <v>Ranged</v>
      </c>
      <c r="D46" s="22" t="str">
        <f>[1]Heroes!D32</f>
        <v>1.7</v>
      </c>
      <c r="E46" s="22" t="str">
        <f>[1]Heroes!E32</f>
        <v>100</v>
      </c>
      <c r="F46" s="22">
        <f>[1]Heroes!F32</f>
        <v>0</v>
      </c>
      <c r="G46" s="22">
        <f>[1]Heroes!G32</f>
        <v>0</v>
      </c>
      <c r="H46" s="22">
        <f>[1]Heroes!H32</f>
        <v>0</v>
      </c>
      <c r="I46" s="22">
        <f>[1]Heroes!I32</f>
        <v>0</v>
      </c>
      <c r="J46" s="22">
        <f>[1]Heroes!J32</f>
        <v>0</v>
      </c>
      <c r="K46" s="22">
        <f>[1]Heroes!K32</f>
        <v>0</v>
      </c>
    </row>
    <row r="47" spans="1:11" x14ac:dyDescent="0.25">
      <c r="A47" s="22" t="str">
        <f>[1]Heroes!A33</f>
        <v>Sand King</v>
      </c>
      <c r="B47" s="22" t="str">
        <f>[1]Heroes!B33</f>
        <v>str</v>
      </c>
      <c r="C47" s="22" t="str">
        <f>[1]Heroes!C33</f>
        <v>Melee</v>
      </c>
      <c r="D47" s="22" t="str">
        <f>[1]Heroes!D33</f>
        <v>1.7</v>
      </c>
      <c r="E47" s="22" t="str">
        <f>[1]Heroes!E33</f>
        <v>100</v>
      </c>
      <c r="F47" s="22">
        <f>[1]Heroes!F33</f>
        <v>0</v>
      </c>
      <c r="G47" s="22">
        <f>[1]Heroes!G33</f>
        <v>0</v>
      </c>
      <c r="H47" s="22">
        <f>[1]Heroes!H33</f>
        <v>0</v>
      </c>
      <c r="I47" s="22">
        <f>[1]Heroes!I33</f>
        <v>0</v>
      </c>
      <c r="J47" s="22">
        <f>[1]Heroes!J33</f>
        <v>0</v>
      </c>
      <c r="K47" s="22">
        <f>[1]Heroes!K33</f>
        <v>0</v>
      </c>
    </row>
    <row r="48" spans="1:11" x14ac:dyDescent="0.25">
      <c r="A48" s="22" t="str">
        <f>[1]Heroes!A34</f>
        <v>Storm Spirit</v>
      </c>
      <c r="B48" s="22" t="str">
        <f>[1]Heroes!B34</f>
        <v>int</v>
      </c>
      <c r="C48" s="22" t="str">
        <f>[1]Heroes!C34</f>
        <v>Ranged</v>
      </c>
      <c r="D48" s="22" t="str">
        <f>[1]Heroes!D34</f>
        <v>1.7</v>
      </c>
      <c r="E48" s="22" t="str">
        <f>[1]Heroes!E34</f>
        <v>100</v>
      </c>
      <c r="F48" s="22">
        <f>[1]Heroes!F34</f>
        <v>0</v>
      </c>
      <c r="G48" s="22">
        <f>[1]Heroes!G34</f>
        <v>0</v>
      </c>
      <c r="H48" s="22">
        <f>[1]Heroes!H34</f>
        <v>0</v>
      </c>
      <c r="I48" s="22">
        <f>[1]Heroes!I34</f>
        <v>0</v>
      </c>
      <c r="J48" s="22">
        <f>[1]Heroes!J34</f>
        <v>0</v>
      </c>
      <c r="K48" s="22">
        <f>[1]Heroes!K34</f>
        <v>0</v>
      </c>
    </row>
    <row r="49" spans="1:11" x14ac:dyDescent="0.25">
      <c r="A49" s="22" t="str">
        <f>[1]Heroes!A35</f>
        <v>Sven</v>
      </c>
      <c r="B49" s="22" t="str">
        <f>[1]Heroes!B35</f>
        <v>str</v>
      </c>
      <c r="C49" s="22" t="str">
        <f>[1]Heroes!C35</f>
        <v>Melee</v>
      </c>
      <c r="D49" s="22" t="str">
        <f>[1]Heroes!D35</f>
        <v>1.9</v>
      </c>
      <c r="E49" s="22" t="str">
        <f>[1]Heroes!E35</f>
        <v>100</v>
      </c>
      <c r="F49" s="22">
        <f>[1]Heroes!F35</f>
        <v>0</v>
      </c>
      <c r="G49" s="22">
        <f>[1]Heroes!G35</f>
        <v>0</v>
      </c>
      <c r="H49" s="22">
        <f>[1]Heroes!H35</f>
        <v>0</v>
      </c>
      <c r="I49" s="22">
        <f>[1]Heroes!I35</f>
        <v>0</v>
      </c>
      <c r="J49" s="22">
        <f>[1]Heroes!J35</f>
        <v>0</v>
      </c>
      <c r="K49" s="22">
        <f>[1]Heroes!K35</f>
        <v>0</v>
      </c>
    </row>
    <row r="50" spans="1:11" x14ac:dyDescent="0.25">
      <c r="A50" s="22" t="str">
        <f>[1]Heroes!A36</f>
        <v>Tiny</v>
      </c>
      <c r="B50" s="22" t="str">
        <f>[1]Heroes!B36</f>
        <v>str</v>
      </c>
      <c r="C50" s="22" t="str">
        <f>[1]Heroes!C36</f>
        <v>Melee</v>
      </c>
      <c r="D50" s="22" t="str">
        <f>[1]Heroes!D36</f>
        <v>1.7</v>
      </c>
      <c r="E50" s="22" t="str">
        <f>[1]Heroes!E36</f>
        <v>100</v>
      </c>
      <c r="F50" s="22">
        <f>[1]Heroes!F36</f>
        <v>0</v>
      </c>
      <c r="G50" s="22">
        <f>[1]Heroes!G36</f>
        <v>0</v>
      </c>
      <c r="H50" s="22">
        <f>[1]Heroes!H36</f>
        <v>0</v>
      </c>
      <c r="I50" s="22">
        <f>[1]Heroes!I36</f>
        <v>0</v>
      </c>
      <c r="J50" s="22">
        <f>[1]Heroes!J36</f>
        <v>0</v>
      </c>
      <c r="K50" s="22">
        <f>[1]Heroes!K36</f>
        <v>0</v>
      </c>
    </row>
    <row r="51" spans="1:11" x14ac:dyDescent="0.25">
      <c r="A51" s="22" t="str">
        <f>[1]Heroes!A37</f>
        <v>Axe</v>
      </c>
      <c r="B51" s="22" t="str">
        <f>[1]Heroes!B37</f>
        <v>str</v>
      </c>
      <c r="C51" s="22" t="str">
        <f>[1]Heroes!C37</f>
        <v>Melee</v>
      </c>
      <c r="D51" s="22" t="str">
        <f>[1]Heroes!D37</f>
        <v>1.7</v>
      </c>
      <c r="E51" s="22" t="str">
        <f>[1]Heroes!E37</f>
        <v>100</v>
      </c>
      <c r="F51" s="22">
        <f>[1]Heroes!F37</f>
        <v>0</v>
      </c>
      <c r="G51" s="22">
        <f>[1]Heroes!G37</f>
        <v>0</v>
      </c>
      <c r="H51" s="22">
        <f>[1]Heroes!H37</f>
        <v>0</v>
      </c>
      <c r="I51" s="22">
        <f>[1]Heroes!I37</f>
        <v>0</v>
      </c>
      <c r="J51" s="22">
        <f>[1]Heroes!J37</f>
        <v>0</v>
      </c>
      <c r="K51" s="22">
        <f>[1]Heroes!K37</f>
        <v>0</v>
      </c>
    </row>
    <row r="52" spans="1:11" x14ac:dyDescent="0.25">
      <c r="A52" s="22" t="str">
        <f>[1]Heroes!A38</f>
        <v>Vengeful Spirit</v>
      </c>
      <c r="B52" s="22" t="str">
        <f>[1]Heroes!B38</f>
        <v>agi</v>
      </c>
      <c r="C52" s="22" t="str">
        <f>[1]Heroes!C38</f>
        <v>Ranged</v>
      </c>
      <c r="D52" s="22" t="str">
        <f>[1]Heroes!D38</f>
        <v>1.7</v>
      </c>
      <c r="E52" s="22" t="str">
        <f>[1]Heroes!E38</f>
        <v>100</v>
      </c>
      <c r="F52" s="22">
        <f>[1]Heroes!F38</f>
        <v>0</v>
      </c>
      <c r="G52" s="22">
        <f>[1]Heroes!G38</f>
        <v>0</v>
      </c>
      <c r="H52" s="22">
        <f>[1]Heroes!H38</f>
        <v>0</v>
      </c>
      <c r="I52" s="22">
        <f>[1]Heroes!I38</f>
        <v>0</v>
      </c>
      <c r="J52" s="22">
        <f>[1]Heroes!J38</f>
        <v>0</v>
      </c>
      <c r="K52" s="22">
        <f>[1]Heroes!K38</f>
        <v>0</v>
      </c>
    </row>
    <row r="53" spans="1:11" x14ac:dyDescent="0.25">
      <c r="A53" s="22" t="str">
        <f>[1]Heroes!A39</f>
        <v>Windranger</v>
      </c>
      <c r="B53" s="22" t="str">
        <f>[1]Heroes!B39</f>
        <v>int</v>
      </c>
      <c r="C53" s="22" t="str">
        <f>[1]Heroes!C39</f>
        <v>Ranged</v>
      </c>
      <c r="D53" s="22" t="str">
        <f>[1]Heroes!D39</f>
        <v>1.5</v>
      </c>
      <c r="E53" s="22" t="str">
        <f>[1]Heroes!E39</f>
        <v>100</v>
      </c>
      <c r="F53" s="22">
        <f>[1]Heroes!F39</f>
        <v>0</v>
      </c>
      <c r="G53" s="22">
        <f>[1]Heroes!G39</f>
        <v>0</v>
      </c>
      <c r="H53" s="22">
        <f>[1]Heroes!H39</f>
        <v>0</v>
      </c>
      <c r="I53" s="22">
        <f>[1]Heroes!I39</f>
        <v>0</v>
      </c>
      <c r="J53" s="22">
        <f>[1]Heroes!J39</f>
        <v>0</v>
      </c>
      <c r="K53" s="22">
        <f>[1]Heroes!K39</f>
        <v>0</v>
      </c>
    </row>
    <row r="54" spans="1:11" x14ac:dyDescent="0.25">
      <c r="A54" s="22" t="str">
        <f>[1]Heroes!A40</f>
        <v>Zeus</v>
      </c>
      <c r="B54" s="22" t="str">
        <f>[1]Heroes!B40</f>
        <v>int</v>
      </c>
      <c r="C54" s="22" t="str">
        <f>[1]Heroes!C40</f>
        <v>Ranged</v>
      </c>
      <c r="D54" s="22" t="str">
        <f>[1]Heroes!D40</f>
        <v>1.7</v>
      </c>
      <c r="E54" s="22" t="str">
        <f>[1]Heroes!E40</f>
        <v>100</v>
      </c>
      <c r="F54" s="22">
        <f>[1]Heroes!F40</f>
        <v>0</v>
      </c>
      <c r="G54" s="22">
        <f>[1]Heroes!G40</f>
        <v>0</v>
      </c>
      <c r="H54" s="22">
        <f>[1]Heroes!H40</f>
        <v>0</v>
      </c>
      <c r="I54" s="22">
        <f>[1]Heroes!I40</f>
        <v>0</v>
      </c>
      <c r="J54" s="22">
        <f>[1]Heroes!J40</f>
        <v>0</v>
      </c>
      <c r="K54" s="22">
        <f>[1]Heroes!K40</f>
        <v>0</v>
      </c>
    </row>
    <row r="55" spans="1:11" x14ac:dyDescent="0.25">
      <c r="A55" s="22" t="str">
        <f>[1]Heroes!A41</f>
        <v>Kunkka</v>
      </c>
      <c r="B55" s="22" t="str">
        <f>[1]Heroes!B41</f>
        <v>str</v>
      </c>
      <c r="C55" s="22" t="str">
        <f>[1]Heroes!C41</f>
        <v>Melee</v>
      </c>
      <c r="D55" s="22" t="str">
        <f>[1]Heroes!D41</f>
        <v>1.7</v>
      </c>
      <c r="E55" s="22" t="str">
        <f>[1]Heroes!E41</f>
        <v>100</v>
      </c>
      <c r="F55" s="22">
        <f>[1]Heroes!F41</f>
        <v>0</v>
      </c>
      <c r="G55" s="22">
        <f>[1]Heroes!G41</f>
        <v>0</v>
      </c>
      <c r="H55" s="22">
        <f>[1]Heroes!H41</f>
        <v>0</v>
      </c>
      <c r="I55" s="22">
        <f>[1]Heroes!I41</f>
        <v>0</v>
      </c>
      <c r="J55" s="22">
        <f>[1]Heroes!J41</f>
        <v>0</v>
      </c>
      <c r="K55" s="22">
        <f>[1]Heroes!K41</f>
        <v>0</v>
      </c>
    </row>
    <row r="56" spans="1:11" x14ac:dyDescent="0.25">
      <c r="A56" s="22" t="str">
        <f>[1]Heroes!A42</f>
        <v>Lina</v>
      </c>
      <c r="B56" s="22" t="str">
        <f>[1]Heroes!B42</f>
        <v>int</v>
      </c>
      <c r="C56" s="22" t="str">
        <f>[1]Heroes!C42</f>
        <v>Ranged</v>
      </c>
      <c r="D56" s="22" t="str">
        <f>[1]Heroes!D42</f>
        <v>1.6</v>
      </c>
      <c r="E56" s="22" t="str">
        <f>[1]Heroes!E42</f>
        <v>100</v>
      </c>
      <c r="F56" s="22">
        <f>[1]Heroes!F42</f>
        <v>0</v>
      </c>
      <c r="G56" s="22">
        <f>[1]Heroes!G42</f>
        <v>0</v>
      </c>
      <c r="H56" s="22">
        <f>[1]Heroes!H42</f>
        <v>0</v>
      </c>
      <c r="I56" s="22">
        <f>[1]Heroes!I42</f>
        <v>0</v>
      </c>
      <c r="J56" s="22">
        <f>[1]Heroes!J42</f>
        <v>0</v>
      </c>
      <c r="K56" s="22">
        <f>[1]Heroes!K42</f>
        <v>0</v>
      </c>
    </row>
    <row r="57" spans="1:11" x14ac:dyDescent="0.25">
      <c r="A57" s="22" t="str">
        <f>[1]Heroes!A43</f>
        <v>Lion</v>
      </c>
      <c r="B57" s="22" t="str">
        <f>[1]Heroes!B43</f>
        <v>int</v>
      </c>
      <c r="C57" s="22" t="str">
        <f>[1]Heroes!C43</f>
        <v>Ranged</v>
      </c>
      <c r="D57" s="22" t="str">
        <f>[1]Heroes!D43</f>
        <v>1.7</v>
      </c>
      <c r="E57" s="22" t="str">
        <f>[1]Heroes!E43</f>
        <v>100</v>
      </c>
      <c r="F57" s="22">
        <f>[1]Heroes!F43</f>
        <v>0</v>
      </c>
      <c r="G57" s="22">
        <f>[1]Heroes!G43</f>
        <v>0</v>
      </c>
      <c r="H57" s="22">
        <f>[1]Heroes!H43</f>
        <v>0</v>
      </c>
      <c r="I57" s="22">
        <f>[1]Heroes!I43</f>
        <v>0</v>
      </c>
      <c r="J57" s="22">
        <f>[1]Heroes!J43</f>
        <v>0</v>
      </c>
      <c r="K57" s="22">
        <f>[1]Heroes!K43</f>
        <v>0</v>
      </c>
    </row>
    <row r="58" spans="1:11" x14ac:dyDescent="0.25">
      <c r="A58" s="22" t="str">
        <f>[1]Heroes!A44</f>
        <v>Shadow Shaman</v>
      </c>
      <c r="B58" s="22" t="str">
        <f>[1]Heroes!B44</f>
        <v>int</v>
      </c>
      <c r="C58" s="22" t="str">
        <f>[1]Heroes!C44</f>
        <v>Ranged</v>
      </c>
      <c r="D58" s="22" t="str">
        <f>[1]Heroes!D44</f>
        <v>1.7</v>
      </c>
      <c r="E58" s="22" t="str">
        <f>[1]Heroes!E44</f>
        <v>100</v>
      </c>
      <c r="F58" s="22">
        <f>[1]Heroes!F44</f>
        <v>0</v>
      </c>
      <c r="G58" s="22">
        <f>[1]Heroes!G44</f>
        <v>0</v>
      </c>
      <c r="H58" s="22">
        <f>[1]Heroes!H44</f>
        <v>0</v>
      </c>
      <c r="I58" s="22">
        <f>[1]Heroes!I44</f>
        <v>0</v>
      </c>
      <c r="J58" s="22">
        <f>[1]Heroes!J44</f>
        <v>0</v>
      </c>
      <c r="K58" s="22">
        <f>[1]Heroes!K44</f>
        <v>0</v>
      </c>
    </row>
    <row r="59" spans="1:11" x14ac:dyDescent="0.25">
      <c r="A59" s="22" t="str">
        <f>[1]Heroes!A45</f>
        <v>Slardar</v>
      </c>
      <c r="B59" s="22" t="str">
        <f>[1]Heroes!B45</f>
        <v>str</v>
      </c>
      <c r="C59" s="22" t="str">
        <f>[1]Heroes!C45</f>
        <v>Melee</v>
      </c>
      <c r="D59" s="22" t="str">
        <f>[1]Heroes!D45</f>
        <v>1.7</v>
      </c>
      <c r="E59" s="22" t="str">
        <f>[1]Heroes!E45</f>
        <v>100</v>
      </c>
      <c r="F59" s="22">
        <f>[1]Heroes!F45</f>
        <v>0</v>
      </c>
      <c r="G59" s="22">
        <f>[1]Heroes!G45</f>
        <v>0</v>
      </c>
      <c r="H59" s="22">
        <f>[1]Heroes!H45</f>
        <v>0</v>
      </c>
      <c r="I59" s="22">
        <f>[1]Heroes!I45</f>
        <v>0</v>
      </c>
      <c r="J59" s="22">
        <f>[1]Heroes!J45</f>
        <v>0</v>
      </c>
      <c r="K59" s="22">
        <f>[1]Heroes!K45</f>
        <v>0</v>
      </c>
    </row>
    <row r="60" spans="1:11" x14ac:dyDescent="0.25">
      <c r="A60" s="22" t="str">
        <f>[1]Heroes!A46</f>
        <v>Tidehunter</v>
      </c>
      <c r="B60" s="22" t="str">
        <f>[1]Heroes!B46</f>
        <v>str</v>
      </c>
      <c r="C60" s="22" t="str">
        <f>[1]Heroes!C46</f>
        <v>Melee</v>
      </c>
      <c r="D60" s="22" t="str">
        <f>[1]Heroes!D46</f>
        <v>1.7</v>
      </c>
      <c r="E60" s="22" t="str">
        <f>[1]Heroes!E46</f>
        <v>100</v>
      </c>
      <c r="F60" s="22">
        <f>[1]Heroes!F46</f>
        <v>0</v>
      </c>
      <c r="G60" s="22">
        <f>[1]Heroes!G46</f>
        <v>0</v>
      </c>
      <c r="H60" s="22">
        <f>[1]Heroes!H46</f>
        <v>0</v>
      </c>
      <c r="I60" s="22">
        <f>[1]Heroes!I46</f>
        <v>0</v>
      </c>
      <c r="J60" s="22">
        <f>[1]Heroes!J46</f>
        <v>0</v>
      </c>
      <c r="K60" s="22">
        <f>[1]Heroes!K46</f>
        <v>0</v>
      </c>
    </row>
    <row r="61" spans="1:11" x14ac:dyDescent="0.25">
      <c r="A61" s="22" t="str">
        <f>[1]Heroes!A47</f>
        <v>Bane</v>
      </c>
      <c r="B61" s="22" t="str">
        <f>[1]Heroes!B47</f>
        <v>int</v>
      </c>
      <c r="C61" s="22" t="str">
        <f>[1]Heroes!C47</f>
        <v>Ranged</v>
      </c>
      <c r="D61" s="22" t="str">
        <f>[1]Heroes!D47</f>
        <v>1.7</v>
      </c>
      <c r="E61" s="22" t="str">
        <f>[1]Heroes!E47</f>
        <v>100</v>
      </c>
      <c r="F61" s="22">
        <f>[1]Heroes!F47</f>
        <v>0</v>
      </c>
      <c r="G61" s="22">
        <f>[1]Heroes!G47</f>
        <v>0</v>
      </c>
      <c r="H61" s="22">
        <f>[1]Heroes!H47</f>
        <v>0</v>
      </c>
      <c r="I61" s="22">
        <f>[1]Heroes!I47</f>
        <v>0</v>
      </c>
      <c r="J61" s="22">
        <f>[1]Heroes!J47</f>
        <v>0</v>
      </c>
      <c r="K61" s="22">
        <f>[1]Heroes!K47</f>
        <v>0</v>
      </c>
    </row>
    <row r="62" spans="1:11" x14ac:dyDescent="0.25">
      <c r="A62" s="22" t="str">
        <f>[1]Heroes!A48</f>
        <v>Witch Doctor</v>
      </c>
      <c r="B62" s="22" t="str">
        <f>[1]Heroes!B48</f>
        <v>int</v>
      </c>
      <c r="C62" s="22" t="str">
        <f>[1]Heroes!C48</f>
        <v>Ranged</v>
      </c>
      <c r="D62" s="22" t="str">
        <f>[1]Heroes!D48</f>
        <v>1.7</v>
      </c>
      <c r="E62" s="22" t="str">
        <f>[1]Heroes!E48</f>
        <v>100</v>
      </c>
      <c r="F62" s="22">
        <f>[1]Heroes!F48</f>
        <v>0</v>
      </c>
      <c r="G62" s="22">
        <f>[1]Heroes!G48</f>
        <v>0</v>
      </c>
      <c r="H62" s="22">
        <f>[1]Heroes!H48</f>
        <v>0</v>
      </c>
      <c r="I62" s="22">
        <f>[1]Heroes!I48</f>
        <v>0</v>
      </c>
      <c r="J62" s="22">
        <f>[1]Heroes!J48</f>
        <v>0</v>
      </c>
      <c r="K62" s="22">
        <f>[1]Heroes!K48</f>
        <v>0</v>
      </c>
    </row>
    <row r="63" spans="1:11" x14ac:dyDescent="0.25">
      <c r="A63" s="22" t="str">
        <f>[1]Heroes!A49</f>
        <v>Lich</v>
      </c>
      <c r="B63" s="22" t="str">
        <f>[1]Heroes!B49</f>
        <v>int</v>
      </c>
      <c r="C63" s="22" t="str">
        <f>[1]Heroes!C49</f>
        <v>Ranged</v>
      </c>
      <c r="D63" s="22" t="str">
        <f>[1]Heroes!D49</f>
        <v>1.7</v>
      </c>
      <c r="E63" s="22" t="str">
        <f>[1]Heroes!E49</f>
        <v>100</v>
      </c>
      <c r="F63" s="22">
        <f>[1]Heroes!F49</f>
        <v>0</v>
      </c>
      <c r="G63" s="22">
        <f>[1]Heroes!G49</f>
        <v>0</v>
      </c>
      <c r="H63" s="22">
        <f>[1]Heroes!H49</f>
        <v>0</v>
      </c>
      <c r="I63" s="22">
        <f>[1]Heroes!I49</f>
        <v>0</v>
      </c>
      <c r="J63" s="22">
        <f>[1]Heroes!J49</f>
        <v>0</v>
      </c>
      <c r="K63" s="22">
        <f>[1]Heroes!K49</f>
        <v>0</v>
      </c>
    </row>
    <row r="64" spans="1:11" x14ac:dyDescent="0.25">
      <c r="A64" s="22" t="str">
        <f>[1]Heroes!A50</f>
        <v>Riki</v>
      </c>
      <c r="B64" s="22" t="str">
        <f>[1]Heroes!B50</f>
        <v>agi</v>
      </c>
      <c r="C64" s="22" t="str">
        <f>[1]Heroes!C50</f>
        <v>Melee</v>
      </c>
      <c r="D64" s="22" t="str">
        <f>[1]Heroes!D50</f>
        <v>1.7</v>
      </c>
      <c r="E64" s="22" t="str">
        <f>[1]Heroes!E50</f>
        <v>100</v>
      </c>
      <c r="F64" s="22">
        <f>[1]Heroes!F50</f>
        <v>0</v>
      </c>
      <c r="G64" s="22">
        <f>[1]Heroes!G50</f>
        <v>0</v>
      </c>
      <c r="H64" s="22">
        <f>[1]Heroes!H50</f>
        <v>0</v>
      </c>
      <c r="I64" s="22">
        <f>[1]Heroes!I50</f>
        <v>0</v>
      </c>
      <c r="J64" s="22">
        <f>[1]Heroes!J50</f>
        <v>0</v>
      </c>
      <c r="K64" s="22">
        <f>[1]Heroes!K50</f>
        <v>0</v>
      </c>
    </row>
    <row r="65" spans="1:11" x14ac:dyDescent="0.25">
      <c r="A65" s="22" t="str">
        <f>[1]Heroes!A51</f>
        <v>Enigma</v>
      </c>
      <c r="B65" s="22" t="str">
        <f>[1]Heroes!B51</f>
        <v>int</v>
      </c>
      <c r="C65" s="22" t="str">
        <f>[1]Heroes!C51</f>
        <v>Ranged</v>
      </c>
      <c r="D65" s="22" t="str">
        <f>[1]Heroes!D51</f>
        <v>1.7</v>
      </c>
      <c r="E65" s="22" t="str">
        <f>[1]Heroes!E51</f>
        <v>100</v>
      </c>
      <c r="F65" s="22">
        <f>[1]Heroes!F51</f>
        <v>0</v>
      </c>
      <c r="G65" s="22">
        <f>[1]Heroes!G51</f>
        <v>0</v>
      </c>
      <c r="H65" s="22">
        <f>[1]Heroes!H51</f>
        <v>0</v>
      </c>
      <c r="I65" s="22">
        <f>[1]Heroes!I51</f>
        <v>0</v>
      </c>
      <c r="J65" s="22">
        <f>[1]Heroes!J51</f>
        <v>0</v>
      </c>
      <c r="K65" s="22">
        <f>[1]Heroes!K51</f>
        <v>0</v>
      </c>
    </row>
    <row r="66" spans="1:11" x14ac:dyDescent="0.25">
      <c r="A66" s="22" t="str">
        <f>[1]Heroes!A52</f>
        <v>Tinker</v>
      </c>
      <c r="B66" s="22" t="str">
        <f>[1]Heroes!B52</f>
        <v>int</v>
      </c>
      <c r="C66" s="22" t="str">
        <f>[1]Heroes!C52</f>
        <v>Ranged</v>
      </c>
      <c r="D66" s="22" t="str">
        <f>[1]Heroes!D52</f>
        <v>1.7</v>
      </c>
      <c r="E66" s="22" t="str">
        <f>[1]Heroes!E52</f>
        <v>100</v>
      </c>
      <c r="F66" s="22">
        <f>[1]Heroes!F52</f>
        <v>0</v>
      </c>
      <c r="G66" s="22">
        <f>[1]Heroes!G52</f>
        <v>0</v>
      </c>
      <c r="H66" s="22">
        <f>[1]Heroes!H52</f>
        <v>0</v>
      </c>
      <c r="I66" s="22">
        <f>[1]Heroes!I52</f>
        <v>0</v>
      </c>
      <c r="J66" s="22">
        <f>[1]Heroes!J52</f>
        <v>0</v>
      </c>
      <c r="K66" s="22">
        <f>[1]Heroes!K52</f>
        <v>0</v>
      </c>
    </row>
    <row r="67" spans="1:11" x14ac:dyDescent="0.25">
      <c r="A67" s="22" t="str">
        <f>[1]Heroes!A53</f>
        <v>Sniper</v>
      </c>
      <c r="B67" s="22" t="str">
        <f>[1]Heroes!B53</f>
        <v>agi</v>
      </c>
      <c r="C67" s="22" t="str">
        <f>[1]Heroes!C53</f>
        <v>Ranged</v>
      </c>
      <c r="D67" s="22" t="str">
        <f>[1]Heroes!D53</f>
        <v>1.7</v>
      </c>
      <c r="E67" s="22" t="str">
        <f>[1]Heroes!E53</f>
        <v>100</v>
      </c>
      <c r="F67" s="22">
        <f>[1]Heroes!F53</f>
        <v>0</v>
      </c>
      <c r="G67" s="22">
        <f>[1]Heroes!G53</f>
        <v>0</v>
      </c>
      <c r="H67" s="22">
        <f>[1]Heroes!H53</f>
        <v>0</v>
      </c>
      <c r="I67" s="22">
        <f>[1]Heroes!I53</f>
        <v>0</v>
      </c>
      <c r="J67" s="22">
        <f>[1]Heroes!J53</f>
        <v>0</v>
      </c>
      <c r="K67" s="22">
        <f>[1]Heroes!K53</f>
        <v>0</v>
      </c>
    </row>
    <row r="68" spans="1:11" x14ac:dyDescent="0.25">
      <c r="A68" s="22" t="str">
        <f>[1]Heroes!A54</f>
        <v>Necrophos</v>
      </c>
      <c r="B68" s="22" t="str">
        <f>[1]Heroes!B54</f>
        <v>int</v>
      </c>
      <c r="C68" s="22" t="str">
        <f>[1]Heroes!C54</f>
        <v>Ranged</v>
      </c>
      <c r="D68" s="22" t="str">
        <f>[1]Heroes!D54</f>
        <v>1.7</v>
      </c>
      <c r="E68" s="22" t="str">
        <f>[1]Heroes!E54</f>
        <v>100</v>
      </c>
      <c r="F68" s="22">
        <f>[1]Heroes!F54</f>
        <v>0</v>
      </c>
      <c r="G68" s="22">
        <f>[1]Heroes!G54</f>
        <v>0</v>
      </c>
      <c r="H68" s="22">
        <f>[1]Heroes!H54</f>
        <v>0</v>
      </c>
      <c r="I68" s="22">
        <f>[1]Heroes!I54</f>
        <v>0</v>
      </c>
      <c r="J68" s="22">
        <f>[1]Heroes!J54</f>
        <v>0</v>
      </c>
      <c r="K68" s="22">
        <f>[1]Heroes!K54</f>
        <v>0</v>
      </c>
    </row>
    <row r="69" spans="1:11" x14ac:dyDescent="0.25">
      <c r="A69" s="22" t="str">
        <f>[1]Heroes!A55</f>
        <v>Warlock</v>
      </c>
      <c r="B69" s="22" t="str">
        <f>[1]Heroes!B55</f>
        <v>int</v>
      </c>
      <c r="C69" s="22" t="str">
        <f>[1]Heroes!C55</f>
        <v>Ranged</v>
      </c>
      <c r="D69" s="22" t="str">
        <f>[1]Heroes!D55</f>
        <v>1.7</v>
      </c>
      <c r="E69" s="22" t="str">
        <f>[1]Heroes!E55</f>
        <v>100</v>
      </c>
      <c r="F69" s="22">
        <f>[1]Heroes!F55</f>
        <v>0</v>
      </c>
      <c r="G69" s="22">
        <f>[1]Heroes!G55</f>
        <v>0</v>
      </c>
      <c r="H69" s="22">
        <f>[1]Heroes!H55</f>
        <v>0</v>
      </c>
      <c r="I69" s="22">
        <f>[1]Heroes!I55</f>
        <v>0</v>
      </c>
      <c r="J69" s="22">
        <f>[1]Heroes!J55</f>
        <v>0</v>
      </c>
      <c r="K69" s="22">
        <f>[1]Heroes!K55</f>
        <v>0</v>
      </c>
    </row>
    <row r="70" spans="1:11" x14ac:dyDescent="0.25">
      <c r="A70" s="22" t="str">
        <f>[1]Heroes!A56</f>
        <v>Beastmaster</v>
      </c>
      <c r="B70" s="22" t="str">
        <f>[1]Heroes!B56</f>
        <v>str</v>
      </c>
      <c r="C70" s="22" t="str">
        <f>[1]Heroes!C56</f>
        <v>Melee</v>
      </c>
      <c r="D70" s="22" t="str">
        <f>[1]Heroes!D56</f>
        <v>1.7</v>
      </c>
      <c r="E70" s="22" t="str">
        <f>[1]Heroes!E56</f>
        <v>100</v>
      </c>
      <c r="F70" s="22">
        <f>[1]Heroes!F56</f>
        <v>0</v>
      </c>
      <c r="G70" s="22">
        <f>[1]Heroes!G56</f>
        <v>0</v>
      </c>
      <c r="H70" s="22">
        <f>[1]Heroes!H56</f>
        <v>0</v>
      </c>
      <c r="I70" s="22">
        <f>[1]Heroes!I56</f>
        <v>0</v>
      </c>
      <c r="J70" s="22">
        <f>[1]Heroes!J56</f>
        <v>0</v>
      </c>
      <c r="K70" s="22">
        <f>[1]Heroes!K56</f>
        <v>0</v>
      </c>
    </row>
    <row r="71" spans="1:11" x14ac:dyDescent="0.25">
      <c r="A71" s="22" t="str">
        <f>[1]Heroes!A57</f>
        <v>Queen of Pain</v>
      </c>
      <c r="B71" s="22" t="str">
        <f>[1]Heroes!B57</f>
        <v>int</v>
      </c>
      <c r="C71" s="22" t="str">
        <f>[1]Heroes!C57</f>
        <v>Ranged</v>
      </c>
      <c r="D71" s="22" t="str">
        <f>[1]Heroes!D57</f>
        <v>1.5</v>
      </c>
      <c r="E71" s="22" t="str">
        <f>[1]Heroes!E57</f>
        <v>100</v>
      </c>
      <c r="F71" s="22">
        <f>[1]Heroes!F57</f>
        <v>0</v>
      </c>
      <c r="G71" s="22">
        <f>[1]Heroes!G57</f>
        <v>0</v>
      </c>
      <c r="H71" s="22">
        <f>[1]Heroes!H57</f>
        <v>0</v>
      </c>
      <c r="I71" s="22">
        <f>[1]Heroes!I57</f>
        <v>0</v>
      </c>
      <c r="J71" s="22">
        <f>[1]Heroes!J57</f>
        <v>0</v>
      </c>
      <c r="K71" s="22">
        <f>[1]Heroes!K57</f>
        <v>0</v>
      </c>
    </row>
    <row r="72" spans="1:11" x14ac:dyDescent="0.25">
      <c r="A72" s="22" t="str">
        <f>[1]Heroes!A58</f>
        <v>Bloodseeker</v>
      </c>
      <c r="B72" s="22" t="str">
        <f>[1]Heroes!B58</f>
        <v>agi</v>
      </c>
      <c r="C72" s="22" t="str">
        <f>[1]Heroes!C58</f>
        <v>Melee</v>
      </c>
      <c r="D72" s="22" t="str">
        <f>[1]Heroes!D58</f>
        <v>1.7</v>
      </c>
      <c r="E72" s="22" t="str">
        <f>[1]Heroes!E58</f>
        <v>100</v>
      </c>
      <c r="F72" s="22">
        <f>[1]Heroes!F58</f>
        <v>0</v>
      </c>
      <c r="G72" s="22">
        <f>[1]Heroes!G58</f>
        <v>0</v>
      </c>
      <c r="H72" s="22">
        <f>[1]Heroes!H58</f>
        <v>0</v>
      </c>
      <c r="I72" s="22">
        <f>[1]Heroes!I58</f>
        <v>0</v>
      </c>
      <c r="J72" s="22">
        <f>[1]Heroes!J58</f>
        <v>0</v>
      </c>
      <c r="K72" s="22">
        <f>[1]Heroes!K58</f>
        <v>0</v>
      </c>
    </row>
    <row r="73" spans="1:11" x14ac:dyDescent="0.25">
      <c r="A73" s="22" t="str">
        <f>[1]Heroes!A59</f>
        <v>Venomancer</v>
      </c>
      <c r="B73" s="22" t="str">
        <f>[1]Heroes!B59</f>
        <v>agi</v>
      </c>
      <c r="C73" s="22" t="str">
        <f>[1]Heroes!C59</f>
        <v>Ranged</v>
      </c>
      <c r="D73" s="22" t="str">
        <f>[1]Heroes!D59</f>
        <v>1.7</v>
      </c>
      <c r="E73" s="22" t="str">
        <f>[1]Heroes!E59</f>
        <v>100</v>
      </c>
      <c r="F73" s="22">
        <f>[1]Heroes!F59</f>
        <v>0</v>
      </c>
      <c r="G73" s="22">
        <f>[1]Heroes!G59</f>
        <v>0</v>
      </c>
      <c r="H73" s="22">
        <f>[1]Heroes!H59</f>
        <v>0</v>
      </c>
      <c r="I73" s="22">
        <f>[1]Heroes!I59</f>
        <v>0</v>
      </c>
      <c r="J73" s="22">
        <f>[1]Heroes!J59</f>
        <v>0</v>
      </c>
      <c r="K73" s="22">
        <f>[1]Heroes!K59</f>
        <v>0</v>
      </c>
    </row>
    <row r="74" spans="1:11" x14ac:dyDescent="0.25">
      <c r="A74" s="22" t="str">
        <f>[1]Heroes!A60</f>
        <v>Faceless Void</v>
      </c>
      <c r="B74" s="22" t="str">
        <f>[1]Heroes!B60</f>
        <v>agi</v>
      </c>
      <c r="C74" s="22" t="str">
        <f>[1]Heroes!C60</f>
        <v>Melee</v>
      </c>
      <c r="D74" s="22" t="str">
        <f>[1]Heroes!D60</f>
        <v>1.7</v>
      </c>
      <c r="E74" s="22" t="str">
        <f>[1]Heroes!E60</f>
        <v>100</v>
      </c>
      <c r="F74" s="22">
        <f>[1]Heroes!F60</f>
        <v>0</v>
      </c>
      <c r="G74" s="22">
        <f>[1]Heroes!G60</f>
        <v>0</v>
      </c>
      <c r="H74" s="22">
        <f>[1]Heroes!H60</f>
        <v>0</v>
      </c>
      <c r="I74" s="22">
        <f>[1]Heroes!I60</f>
        <v>0</v>
      </c>
      <c r="J74" s="22">
        <f>[1]Heroes!J60</f>
        <v>0</v>
      </c>
      <c r="K74" s="22">
        <f>[1]Heroes!K60</f>
        <v>0</v>
      </c>
    </row>
    <row r="75" spans="1:11" x14ac:dyDescent="0.25">
      <c r="A75" s="22" t="str">
        <f>[1]Heroes!A61</f>
        <v>Wraith King</v>
      </c>
      <c r="B75" s="22" t="str">
        <f>[1]Heroes!B61</f>
        <v>str</v>
      </c>
      <c r="C75" s="22" t="str">
        <f>[1]Heroes!C61</f>
        <v>Melee</v>
      </c>
      <c r="D75" s="22" t="str">
        <f>[1]Heroes!D61</f>
        <v>1.7</v>
      </c>
      <c r="E75" s="22" t="str">
        <f>[1]Heroes!E61</f>
        <v>100</v>
      </c>
      <c r="F75" s="22">
        <f>[1]Heroes!F61</f>
        <v>0</v>
      </c>
      <c r="G75" s="22">
        <f>[1]Heroes!G61</f>
        <v>0</v>
      </c>
      <c r="H75" s="22">
        <f>[1]Heroes!H61</f>
        <v>0</v>
      </c>
      <c r="I75" s="22">
        <f>[1]Heroes!I61</f>
        <v>0</v>
      </c>
      <c r="J75" s="22">
        <f>[1]Heroes!J61</f>
        <v>0</v>
      </c>
      <c r="K75" s="22">
        <f>[1]Heroes!K61</f>
        <v>0</v>
      </c>
    </row>
    <row r="76" spans="1:11" x14ac:dyDescent="0.25">
      <c r="A76" s="22" t="str">
        <f>[1]Heroes!A62</f>
        <v>Death Prophet</v>
      </c>
      <c r="B76" s="22" t="str">
        <f>[1]Heroes!B62</f>
        <v>int</v>
      </c>
      <c r="C76" s="22" t="str">
        <f>[1]Heroes!C62</f>
        <v>Ranged</v>
      </c>
      <c r="D76" s="22" t="str">
        <f>[1]Heroes!D62</f>
        <v>1.7</v>
      </c>
      <c r="E76" s="22" t="str">
        <f>[1]Heroes!E62</f>
        <v>100</v>
      </c>
      <c r="F76" s="22">
        <f>[1]Heroes!F62</f>
        <v>0</v>
      </c>
      <c r="G76" s="22">
        <f>[1]Heroes!G62</f>
        <v>0</v>
      </c>
      <c r="H76" s="22">
        <f>[1]Heroes!H62</f>
        <v>0</v>
      </c>
      <c r="I76" s="22">
        <f>[1]Heroes!I62</f>
        <v>0</v>
      </c>
      <c r="J76" s="22">
        <f>[1]Heroes!J62</f>
        <v>0</v>
      </c>
      <c r="K76" s="22">
        <f>[1]Heroes!K62</f>
        <v>0</v>
      </c>
    </row>
    <row r="77" spans="1:11" x14ac:dyDescent="0.25">
      <c r="A77" s="22" t="str">
        <f>[1]Heroes!A63</f>
        <v>Phantom Assassin</v>
      </c>
      <c r="B77" s="22" t="str">
        <f>[1]Heroes!B63</f>
        <v>agi</v>
      </c>
      <c r="C77" s="22" t="str">
        <f>[1]Heroes!C63</f>
        <v>Melee</v>
      </c>
      <c r="D77" s="22" t="str">
        <f>[1]Heroes!D63</f>
        <v>1.7</v>
      </c>
      <c r="E77" s="22" t="str">
        <f>[1]Heroes!E63</f>
        <v>100</v>
      </c>
      <c r="F77" s="22">
        <f>[1]Heroes!F63</f>
        <v>0</v>
      </c>
      <c r="G77" s="22">
        <f>[1]Heroes!G63</f>
        <v>0</v>
      </c>
      <c r="H77" s="22">
        <f>[1]Heroes!H63</f>
        <v>0</v>
      </c>
      <c r="I77" s="22">
        <f>[1]Heroes!I63</f>
        <v>0</v>
      </c>
      <c r="J77" s="22">
        <f>[1]Heroes!J63</f>
        <v>0</v>
      </c>
      <c r="K77" s="22">
        <f>[1]Heroes!K63</f>
        <v>0</v>
      </c>
    </row>
    <row r="78" spans="1:11" x14ac:dyDescent="0.25">
      <c r="A78" s="22" t="str">
        <f>[1]Heroes!A64</f>
        <v>Pugna</v>
      </c>
      <c r="B78" s="22" t="str">
        <f>[1]Heroes!B64</f>
        <v>int</v>
      </c>
      <c r="C78" s="22" t="str">
        <f>[1]Heroes!C64</f>
        <v>Ranged</v>
      </c>
      <c r="D78" s="22" t="str">
        <f>[1]Heroes!D64</f>
        <v>1.7</v>
      </c>
      <c r="E78" s="22" t="str">
        <f>[1]Heroes!E64</f>
        <v>100</v>
      </c>
      <c r="F78" s="22">
        <f>[1]Heroes!F64</f>
        <v>0</v>
      </c>
      <c r="G78" s="22">
        <f>[1]Heroes!G64</f>
        <v>0</v>
      </c>
      <c r="H78" s="22">
        <f>[1]Heroes!H64</f>
        <v>0</v>
      </c>
      <c r="I78" s="22">
        <f>[1]Heroes!I64</f>
        <v>0</v>
      </c>
      <c r="J78" s="22">
        <f>[1]Heroes!J64</f>
        <v>0</v>
      </c>
      <c r="K78" s="22">
        <f>[1]Heroes!K64</f>
        <v>0</v>
      </c>
    </row>
    <row r="79" spans="1:11" x14ac:dyDescent="0.25">
      <c r="A79" s="22" t="str">
        <f>[1]Heroes!A65</f>
        <v>Templar Assassin</v>
      </c>
      <c r="B79" s="22" t="str">
        <f>[1]Heroes!B65</f>
        <v>agi</v>
      </c>
      <c r="C79" s="22" t="str">
        <f>[1]Heroes!C65</f>
        <v>Ranged</v>
      </c>
      <c r="D79" s="22" t="str">
        <f>[1]Heroes!D65</f>
        <v>1.7</v>
      </c>
      <c r="E79" s="22" t="str">
        <f>[1]Heroes!E65</f>
        <v>100</v>
      </c>
      <c r="F79" s="22">
        <f>[1]Heroes!F65</f>
        <v>0</v>
      </c>
      <c r="G79" s="22">
        <f>[1]Heroes!G65</f>
        <v>0</v>
      </c>
      <c r="H79" s="22">
        <f>[1]Heroes!H65</f>
        <v>0</v>
      </c>
      <c r="I79" s="22">
        <f>[1]Heroes!I65</f>
        <v>0</v>
      </c>
      <c r="J79" s="22">
        <f>[1]Heroes!J65</f>
        <v>0</v>
      </c>
      <c r="K79" s="22">
        <f>[1]Heroes!K65</f>
        <v>0</v>
      </c>
    </row>
    <row r="80" spans="1:11" x14ac:dyDescent="0.25">
      <c r="A80" s="22" t="str">
        <f>[1]Heroes!A66</f>
        <v>Viper</v>
      </c>
      <c r="B80" s="22" t="str">
        <f>[1]Heroes!B66</f>
        <v>agi</v>
      </c>
      <c r="C80" s="22" t="str">
        <f>[1]Heroes!C66</f>
        <v>Ranged</v>
      </c>
      <c r="D80" s="22" t="str">
        <f>[1]Heroes!D66</f>
        <v>1.7</v>
      </c>
      <c r="E80" s="22" t="str">
        <f>[1]Heroes!E66</f>
        <v>100</v>
      </c>
      <c r="F80" s="22">
        <f>[1]Heroes!F66</f>
        <v>0</v>
      </c>
      <c r="G80" s="22">
        <f>[1]Heroes!G66</f>
        <v>0</v>
      </c>
      <c r="H80" s="22">
        <f>[1]Heroes!H66</f>
        <v>0</v>
      </c>
      <c r="I80" s="22">
        <f>[1]Heroes!I66</f>
        <v>0</v>
      </c>
      <c r="J80" s="22">
        <f>[1]Heroes!J66</f>
        <v>0</v>
      </c>
      <c r="K80" s="22">
        <f>[1]Heroes!K66</f>
        <v>0</v>
      </c>
    </row>
    <row r="81" spans="1:11" x14ac:dyDescent="0.25">
      <c r="A81" s="22" t="str">
        <f>[1]Heroes!A67</f>
        <v>Luna</v>
      </c>
      <c r="B81" s="22" t="str">
        <f>[1]Heroes!B67</f>
        <v>agi</v>
      </c>
      <c r="C81" s="22" t="str">
        <f>[1]Heroes!C67</f>
        <v>Ranged</v>
      </c>
      <c r="D81" s="22" t="str">
        <f>[1]Heroes!D67</f>
        <v>1.7</v>
      </c>
      <c r="E81" s="22" t="str">
        <f>[1]Heroes!E67</f>
        <v>100</v>
      </c>
      <c r="F81" s="22">
        <f>[1]Heroes!F67</f>
        <v>0</v>
      </c>
      <c r="G81" s="22">
        <f>[1]Heroes!G67</f>
        <v>0</v>
      </c>
      <c r="H81" s="22">
        <f>[1]Heroes!H67</f>
        <v>0</v>
      </c>
      <c r="I81" s="22">
        <f>[1]Heroes!I67</f>
        <v>0</v>
      </c>
      <c r="J81" s="22">
        <f>[1]Heroes!J67</f>
        <v>0</v>
      </c>
      <c r="K81" s="22">
        <f>[1]Heroes!K67</f>
        <v>0</v>
      </c>
    </row>
    <row r="82" spans="1:11" x14ac:dyDescent="0.25">
      <c r="A82" s="22" t="str">
        <f>[1]Heroes!A68</f>
        <v>Dragon Knight</v>
      </c>
      <c r="B82" s="22" t="str">
        <f>[1]Heroes!B68</f>
        <v>str</v>
      </c>
      <c r="C82" s="22" t="str">
        <f>[1]Heroes!C68</f>
        <v>Melee</v>
      </c>
      <c r="D82" s="22" t="str">
        <f>[1]Heroes!D68</f>
        <v>1.7</v>
      </c>
      <c r="E82" s="22" t="str">
        <f>[1]Heroes!E68</f>
        <v>100</v>
      </c>
      <c r="F82" s="22">
        <f>[1]Heroes!F68</f>
        <v>0</v>
      </c>
      <c r="G82" s="22">
        <f>[1]Heroes!G68</f>
        <v>0</v>
      </c>
      <c r="H82" s="22">
        <f>[1]Heroes!H68</f>
        <v>0</v>
      </c>
      <c r="I82" s="22">
        <f>[1]Heroes!I68</f>
        <v>0</v>
      </c>
      <c r="J82" s="22">
        <f>[1]Heroes!J68</f>
        <v>0</v>
      </c>
      <c r="K82" s="22">
        <f>[1]Heroes!K68</f>
        <v>0</v>
      </c>
    </row>
    <row r="83" spans="1:11" x14ac:dyDescent="0.25">
      <c r="A83" s="22" t="str">
        <f>[1]Heroes!A69</f>
        <v>Crystal Maiden</v>
      </c>
      <c r="B83" s="22" t="str">
        <f>[1]Heroes!B69</f>
        <v>int</v>
      </c>
      <c r="C83" s="22" t="str">
        <f>[1]Heroes!C69</f>
        <v>Ranged</v>
      </c>
      <c r="D83" s="22" t="str">
        <f>[1]Heroes!D69</f>
        <v>1.7</v>
      </c>
      <c r="E83" s="22" t="str">
        <f>[1]Heroes!E69</f>
        <v>100</v>
      </c>
      <c r="F83" s="22">
        <f>[1]Heroes!F69</f>
        <v>0</v>
      </c>
      <c r="G83" s="22">
        <f>[1]Heroes!G69</f>
        <v>0</v>
      </c>
      <c r="H83" s="22">
        <f>[1]Heroes!H69</f>
        <v>0</v>
      </c>
      <c r="I83" s="22">
        <f>[1]Heroes!I69</f>
        <v>0</v>
      </c>
      <c r="J83" s="22">
        <f>[1]Heroes!J69</f>
        <v>0</v>
      </c>
      <c r="K83" s="22">
        <f>[1]Heroes!K69</f>
        <v>0</v>
      </c>
    </row>
    <row r="84" spans="1:11" x14ac:dyDescent="0.25">
      <c r="A84" s="22" t="str">
        <f>[1]Heroes!A70</f>
        <v>Dazzle</v>
      </c>
      <c r="B84" s="22" t="str">
        <f>[1]Heroes!B70</f>
        <v>int</v>
      </c>
      <c r="C84" s="22" t="str">
        <f>[1]Heroes!C70</f>
        <v>Ranged</v>
      </c>
      <c r="D84" s="22" t="str">
        <f>[1]Heroes!D70</f>
        <v>1.7</v>
      </c>
      <c r="E84" s="22" t="str">
        <f>[1]Heroes!E70</f>
        <v>100</v>
      </c>
      <c r="F84" s="22">
        <f>[1]Heroes!F70</f>
        <v>0</v>
      </c>
      <c r="G84" s="22">
        <f>[1]Heroes!G70</f>
        <v>0</v>
      </c>
      <c r="H84" s="22">
        <f>[1]Heroes!H70</f>
        <v>0</v>
      </c>
      <c r="I84" s="22">
        <f>[1]Heroes!I70</f>
        <v>0</v>
      </c>
      <c r="J84" s="22">
        <f>[1]Heroes!J70</f>
        <v>0</v>
      </c>
      <c r="K84" s="22">
        <f>[1]Heroes!K70</f>
        <v>0</v>
      </c>
    </row>
    <row r="85" spans="1:11" x14ac:dyDescent="0.25">
      <c r="A85" s="22" t="str">
        <f>[1]Heroes!A71</f>
        <v>Clockwerk</v>
      </c>
      <c r="B85" s="22" t="str">
        <f>[1]Heroes!B71</f>
        <v>str</v>
      </c>
      <c r="C85" s="22" t="str">
        <f>[1]Heroes!C71</f>
        <v>Melee</v>
      </c>
      <c r="D85" s="22" t="str">
        <f>[1]Heroes!D71</f>
        <v>1.7</v>
      </c>
      <c r="E85" s="22" t="str">
        <f>[1]Heroes!E71</f>
        <v>100</v>
      </c>
      <c r="F85" s="22">
        <f>[1]Heroes!F71</f>
        <v>0</v>
      </c>
      <c r="G85" s="22">
        <f>[1]Heroes!G71</f>
        <v>0</v>
      </c>
      <c r="H85" s="22">
        <f>[1]Heroes!H71</f>
        <v>0</v>
      </c>
      <c r="I85" s="22">
        <f>[1]Heroes!I71</f>
        <v>0</v>
      </c>
      <c r="J85" s="22">
        <f>[1]Heroes!J71</f>
        <v>0</v>
      </c>
      <c r="K85" s="22">
        <f>[1]Heroes!K71</f>
        <v>0</v>
      </c>
    </row>
    <row r="86" spans="1:11" x14ac:dyDescent="0.25">
      <c r="A86" s="22" t="str">
        <f>[1]Heroes!A72</f>
        <v>Leshrac</v>
      </c>
      <c r="B86" s="22" t="str">
        <f>[1]Heroes!B72</f>
        <v>int</v>
      </c>
      <c r="C86" s="22" t="str">
        <f>[1]Heroes!C72</f>
        <v>Ranged</v>
      </c>
      <c r="D86" s="22" t="str">
        <f>[1]Heroes!D72</f>
        <v>1.7</v>
      </c>
      <c r="E86" s="22" t="str">
        <f>[1]Heroes!E72</f>
        <v>100</v>
      </c>
      <c r="F86" s="22">
        <f>[1]Heroes!F72</f>
        <v>0</v>
      </c>
      <c r="G86" s="22">
        <f>[1]Heroes!G72</f>
        <v>0</v>
      </c>
      <c r="H86" s="22">
        <f>[1]Heroes!H72</f>
        <v>0</v>
      </c>
      <c r="I86" s="22">
        <f>[1]Heroes!I72</f>
        <v>0</v>
      </c>
      <c r="J86" s="22">
        <f>[1]Heroes!J72</f>
        <v>0</v>
      </c>
      <c r="K86" s="22">
        <f>[1]Heroes!K72</f>
        <v>0</v>
      </c>
    </row>
    <row r="87" spans="1:11" x14ac:dyDescent="0.25">
      <c r="A87" s="22" t="str">
        <f>[1]Heroes!A73</f>
        <v>Nature's Prophet</v>
      </c>
      <c r="B87" s="22" t="str">
        <f>[1]Heroes!B73</f>
        <v>int</v>
      </c>
      <c r="C87" s="22" t="str">
        <f>[1]Heroes!C73</f>
        <v>Ranged</v>
      </c>
      <c r="D87" s="22" t="str">
        <f>[1]Heroes!D73</f>
        <v>1.7</v>
      </c>
      <c r="E87" s="22" t="str">
        <f>[1]Heroes!E73</f>
        <v>100</v>
      </c>
      <c r="F87" s="22">
        <f>[1]Heroes!F73</f>
        <v>0</v>
      </c>
      <c r="G87" s="22">
        <f>[1]Heroes!G73</f>
        <v>0</v>
      </c>
      <c r="H87" s="22">
        <f>[1]Heroes!H73</f>
        <v>0</v>
      </c>
      <c r="I87" s="22">
        <f>[1]Heroes!I73</f>
        <v>0</v>
      </c>
      <c r="J87" s="22">
        <f>[1]Heroes!J73</f>
        <v>0</v>
      </c>
      <c r="K87" s="22">
        <f>[1]Heroes!K73</f>
        <v>0</v>
      </c>
    </row>
    <row r="88" spans="1:11" x14ac:dyDescent="0.25">
      <c r="A88" s="22" t="str">
        <f>[1]Heroes!A74</f>
        <v>Lifestealer</v>
      </c>
      <c r="B88" s="22" t="str">
        <f>[1]Heroes!B74</f>
        <v>str</v>
      </c>
      <c r="C88" s="22" t="str">
        <f>[1]Heroes!C74</f>
        <v>Melee</v>
      </c>
      <c r="D88" s="22" t="str">
        <f>[1]Heroes!D74</f>
        <v>1.7</v>
      </c>
      <c r="E88" s="22" t="str">
        <f>[1]Heroes!E74</f>
        <v>100</v>
      </c>
      <c r="F88" s="22">
        <f>[1]Heroes!F74</f>
        <v>0</v>
      </c>
      <c r="G88" s="22">
        <f>[1]Heroes!G74</f>
        <v>0</v>
      </c>
      <c r="H88" s="22">
        <f>[1]Heroes!H74</f>
        <v>0</v>
      </c>
      <c r="I88" s="22">
        <f>[1]Heroes!I74</f>
        <v>0</v>
      </c>
      <c r="J88" s="22">
        <f>[1]Heroes!J74</f>
        <v>0</v>
      </c>
      <c r="K88" s="22">
        <f>[1]Heroes!K74</f>
        <v>0</v>
      </c>
    </row>
    <row r="89" spans="1:11" x14ac:dyDescent="0.25">
      <c r="A89" s="22" t="str">
        <f>[1]Heroes!A75</f>
        <v>Dark Seer</v>
      </c>
      <c r="B89" s="22" t="str">
        <f>[1]Heroes!B75</f>
        <v>int</v>
      </c>
      <c r="C89" s="22" t="str">
        <f>[1]Heroes!C75</f>
        <v>Melee</v>
      </c>
      <c r="D89" s="22" t="str">
        <f>[1]Heroes!D75</f>
        <v>1.7</v>
      </c>
      <c r="E89" s="22" t="str">
        <f>[1]Heroes!E75</f>
        <v>100</v>
      </c>
      <c r="F89" s="22">
        <f>[1]Heroes!F75</f>
        <v>0</v>
      </c>
      <c r="G89" s="22">
        <f>[1]Heroes!G75</f>
        <v>0</v>
      </c>
      <c r="H89" s="22">
        <f>[1]Heroes!H75</f>
        <v>0</v>
      </c>
      <c r="I89" s="22">
        <f>[1]Heroes!I75</f>
        <v>0</v>
      </c>
      <c r="J89" s="22">
        <f>[1]Heroes!J75</f>
        <v>0</v>
      </c>
      <c r="K89" s="22">
        <f>[1]Heroes!K75</f>
        <v>0</v>
      </c>
    </row>
    <row r="90" spans="1:11" x14ac:dyDescent="0.25">
      <c r="A90" s="22" t="str">
        <f>[1]Heroes!A76</f>
        <v>Clinkz</v>
      </c>
      <c r="B90" s="22" t="str">
        <f>[1]Heroes!B76</f>
        <v>agi</v>
      </c>
      <c r="C90" s="22" t="str">
        <f>[1]Heroes!C76</f>
        <v>Ranged</v>
      </c>
      <c r="D90" s="22" t="str">
        <f>[1]Heroes!D76</f>
        <v>1.7</v>
      </c>
      <c r="E90" s="22" t="str">
        <f>[1]Heroes!E76</f>
        <v>100</v>
      </c>
      <c r="F90" s="22">
        <f>[1]Heroes!F76</f>
        <v>0</v>
      </c>
      <c r="G90" s="22">
        <f>[1]Heroes!G76</f>
        <v>0</v>
      </c>
      <c r="H90" s="22">
        <f>[1]Heroes!H76</f>
        <v>0</v>
      </c>
      <c r="I90" s="22">
        <f>[1]Heroes!I76</f>
        <v>0</v>
      </c>
      <c r="J90" s="22">
        <f>[1]Heroes!J76</f>
        <v>0</v>
      </c>
      <c r="K90" s="22">
        <f>[1]Heroes!K76</f>
        <v>0</v>
      </c>
    </row>
    <row r="91" spans="1:11" x14ac:dyDescent="0.25">
      <c r="A91" s="22" t="str">
        <f>[1]Heroes!A77</f>
        <v>Omniknight</v>
      </c>
      <c r="B91" s="22" t="str">
        <f>[1]Heroes!B77</f>
        <v>str</v>
      </c>
      <c r="C91" s="22" t="str">
        <f>[1]Heroes!C77</f>
        <v>Melee</v>
      </c>
      <c r="D91" s="22" t="str">
        <f>[1]Heroes!D77</f>
        <v>1.7</v>
      </c>
      <c r="E91" s="22" t="str">
        <f>[1]Heroes!E77</f>
        <v>100</v>
      </c>
      <c r="F91" s="22">
        <f>[1]Heroes!F77</f>
        <v>0</v>
      </c>
      <c r="G91" s="22">
        <f>[1]Heroes!G77</f>
        <v>0</v>
      </c>
      <c r="H91" s="22">
        <f>[1]Heroes!H77</f>
        <v>0</v>
      </c>
      <c r="I91" s="22">
        <f>[1]Heroes!I77</f>
        <v>0</v>
      </c>
      <c r="J91" s="22">
        <f>[1]Heroes!J77</f>
        <v>0</v>
      </c>
      <c r="K91" s="22">
        <f>[1]Heroes!K77</f>
        <v>0</v>
      </c>
    </row>
    <row r="92" spans="1:11" x14ac:dyDescent="0.25">
      <c r="A92" s="22" t="str">
        <f>[1]Heroes!A78</f>
        <v>Enchantress</v>
      </c>
      <c r="B92" s="22" t="str">
        <f>[1]Heroes!B78</f>
        <v>int</v>
      </c>
      <c r="C92" s="22" t="str">
        <f>[1]Heroes!C78</f>
        <v>Ranged</v>
      </c>
      <c r="D92" s="22" t="str">
        <f>[1]Heroes!D78</f>
        <v>1.7</v>
      </c>
      <c r="E92" s="22" t="str">
        <f>[1]Heroes!E78</f>
        <v>100</v>
      </c>
      <c r="F92" s="22">
        <f>[1]Heroes!F78</f>
        <v>0</v>
      </c>
      <c r="G92" s="22">
        <f>[1]Heroes!G78</f>
        <v>0</v>
      </c>
      <c r="H92" s="22">
        <f>[1]Heroes!H78</f>
        <v>0</v>
      </c>
      <c r="I92" s="22">
        <f>[1]Heroes!I78</f>
        <v>0</v>
      </c>
      <c r="J92" s="22">
        <f>[1]Heroes!J78</f>
        <v>0</v>
      </c>
      <c r="K92" s="22">
        <f>[1]Heroes!K78</f>
        <v>0</v>
      </c>
    </row>
    <row r="93" spans="1:11" x14ac:dyDescent="0.25">
      <c r="A93" s="22" t="str">
        <f>[1]Heroes!A79</f>
        <v>Huskar</v>
      </c>
      <c r="B93" s="22" t="str">
        <f>[1]Heroes!B79</f>
        <v>str</v>
      </c>
      <c r="C93" s="22" t="str">
        <f>[1]Heroes!C79</f>
        <v>Ranged</v>
      </c>
      <c r="D93" s="22" t="str">
        <f>[1]Heroes!D79</f>
        <v>1.6</v>
      </c>
      <c r="E93" s="22" t="str">
        <f>[1]Heroes!E79</f>
        <v>100</v>
      </c>
      <c r="F93" s="22">
        <f>[1]Heroes!F79</f>
        <v>0</v>
      </c>
      <c r="G93" s="22">
        <f>[1]Heroes!G79</f>
        <v>0</v>
      </c>
      <c r="H93" s="22">
        <f>[1]Heroes!H79</f>
        <v>0</v>
      </c>
      <c r="I93" s="22">
        <f>[1]Heroes!I79</f>
        <v>0</v>
      </c>
      <c r="J93" s="22">
        <f>[1]Heroes!J79</f>
        <v>0</v>
      </c>
      <c r="K93" s="22">
        <f>[1]Heroes!K79</f>
        <v>0</v>
      </c>
    </row>
    <row r="94" spans="1:11" x14ac:dyDescent="0.25">
      <c r="A94" s="22" t="str">
        <f>[1]Heroes!A80</f>
        <v>Drow Ranger</v>
      </c>
      <c r="B94" s="22" t="str">
        <f>[1]Heroes!B80</f>
        <v>agi</v>
      </c>
      <c r="C94" s="22" t="str">
        <f>[1]Heroes!C80</f>
        <v>Ranged</v>
      </c>
      <c r="D94" s="22" t="str">
        <f>[1]Heroes!D80</f>
        <v>1.7</v>
      </c>
      <c r="E94" s="22" t="str">
        <f>[1]Heroes!E80</f>
        <v>100</v>
      </c>
      <c r="F94" s="22">
        <f>[1]Heroes!F80</f>
        <v>0</v>
      </c>
      <c r="G94" s="22">
        <f>[1]Heroes!G80</f>
        <v>0</v>
      </c>
      <c r="H94" s="22">
        <f>[1]Heroes!H80</f>
        <v>0</v>
      </c>
      <c r="I94" s="22">
        <f>[1]Heroes!I80</f>
        <v>0</v>
      </c>
      <c r="J94" s="22">
        <f>[1]Heroes!J80</f>
        <v>0</v>
      </c>
      <c r="K94" s="22">
        <f>[1]Heroes!K80</f>
        <v>0</v>
      </c>
    </row>
    <row r="95" spans="1:11" x14ac:dyDescent="0.25">
      <c r="A95" s="22" t="str">
        <f>[1]Heroes!A81</f>
        <v>Night Stalker</v>
      </c>
      <c r="B95" s="22" t="str">
        <f>[1]Heroes!B81</f>
        <v>str</v>
      </c>
      <c r="C95" s="22" t="str">
        <f>[1]Heroes!C81</f>
        <v>Melee</v>
      </c>
      <c r="D95" s="22" t="str">
        <f>[1]Heroes!D81</f>
        <v>1.7</v>
      </c>
      <c r="E95" s="22" t="str">
        <f>[1]Heroes!E81</f>
        <v>100</v>
      </c>
      <c r="F95" s="22">
        <f>[1]Heroes!F81</f>
        <v>0</v>
      </c>
      <c r="G95" s="22">
        <f>[1]Heroes!G81</f>
        <v>0</v>
      </c>
      <c r="H95" s="22">
        <f>[1]Heroes!H81</f>
        <v>0</v>
      </c>
      <c r="I95" s="22">
        <f>[1]Heroes!I81</f>
        <v>0</v>
      </c>
      <c r="J95" s="22">
        <f>[1]Heroes!J81</f>
        <v>0</v>
      </c>
      <c r="K95" s="22">
        <f>[1]Heroes!K81</f>
        <v>0</v>
      </c>
    </row>
    <row r="96" spans="1:11" x14ac:dyDescent="0.25">
      <c r="A96" s="22" t="str">
        <f>[1]Heroes!A82</f>
        <v>Broodmother</v>
      </c>
      <c r="B96" s="22" t="str">
        <f>[1]Heroes!B82</f>
        <v>agi</v>
      </c>
      <c r="C96" s="22" t="str">
        <f>[1]Heroes!C82</f>
        <v>Melee</v>
      </c>
      <c r="D96" s="22" t="str">
        <f>[1]Heroes!D82</f>
        <v>1.7</v>
      </c>
      <c r="E96" s="22" t="str">
        <f>[1]Heroes!E82</f>
        <v>100</v>
      </c>
      <c r="F96" s="22">
        <f>[1]Heroes!F82</f>
        <v>0</v>
      </c>
      <c r="G96" s="22">
        <f>[1]Heroes!G82</f>
        <v>0</v>
      </c>
      <c r="H96" s="22">
        <f>[1]Heroes!H82</f>
        <v>0</v>
      </c>
      <c r="I96" s="22">
        <f>[1]Heroes!I82</f>
        <v>0</v>
      </c>
      <c r="J96" s="22">
        <f>[1]Heroes!J82</f>
        <v>0</v>
      </c>
      <c r="K96" s="22">
        <f>[1]Heroes!K82</f>
        <v>0</v>
      </c>
    </row>
    <row r="97" spans="1:11" x14ac:dyDescent="0.25">
      <c r="A97" s="22" t="str">
        <f>[1]Heroes!A83</f>
        <v>Bounty Hunter</v>
      </c>
      <c r="B97" s="22" t="str">
        <f>[1]Heroes!B83</f>
        <v>agi</v>
      </c>
      <c r="C97" s="22" t="str">
        <f>[1]Heroes!C83</f>
        <v>Melee</v>
      </c>
      <c r="D97" s="22" t="str">
        <f>[1]Heroes!D83</f>
        <v>1.7</v>
      </c>
      <c r="E97" s="22" t="str">
        <f>[1]Heroes!E83</f>
        <v>100</v>
      </c>
      <c r="F97" s="22">
        <f>[1]Heroes!F83</f>
        <v>0</v>
      </c>
      <c r="G97" s="22">
        <f>[1]Heroes!G83</f>
        <v>0</v>
      </c>
      <c r="H97" s="22">
        <f>[1]Heroes!H83</f>
        <v>0</v>
      </c>
      <c r="I97" s="22">
        <f>[1]Heroes!I83</f>
        <v>0</v>
      </c>
      <c r="J97" s="22">
        <f>[1]Heroes!J83</f>
        <v>0</v>
      </c>
      <c r="K97" s="22">
        <f>[1]Heroes!K83</f>
        <v>0</v>
      </c>
    </row>
    <row r="98" spans="1:11" x14ac:dyDescent="0.25">
      <c r="A98" s="22" t="str">
        <f>[1]Heroes!A84</f>
        <v>Weaver</v>
      </c>
      <c r="B98" s="22" t="str">
        <f>[1]Heroes!B84</f>
        <v>agi</v>
      </c>
      <c r="C98" s="22" t="str">
        <f>[1]Heroes!C84</f>
        <v>Ranged</v>
      </c>
      <c r="D98" s="22" t="str">
        <f>[1]Heroes!D84</f>
        <v>1.8</v>
      </c>
      <c r="E98" s="22" t="str">
        <f>[1]Heroes!E84</f>
        <v>100</v>
      </c>
      <c r="F98" s="22">
        <f>[1]Heroes!F84</f>
        <v>0</v>
      </c>
      <c r="G98" s="22">
        <f>[1]Heroes!G84</f>
        <v>0</v>
      </c>
      <c r="H98" s="22">
        <f>[1]Heroes!H84</f>
        <v>0</v>
      </c>
      <c r="I98" s="22">
        <f>[1]Heroes!I84</f>
        <v>0</v>
      </c>
      <c r="J98" s="22">
        <f>[1]Heroes!J84</f>
        <v>0</v>
      </c>
      <c r="K98" s="22">
        <f>[1]Heroes!K84</f>
        <v>0</v>
      </c>
    </row>
    <row r="99" spans="1:11" x14ac:dyDescent="0.25">
      <c r="A99" s="22" t="str">
        <f>[1]Heroes!A85</f>
        <v>Jakiro</v>
      </c>
      <c r="B99" s="22" t="str">
        <f>[1]Heroes!B85</f>
        <v>int</v>
      </c>
      <c r="C99" s="22" t="str">
        <f>[1]Heroes!C85</f>
        <v>Ranged</v>
      </c>
      <c r="D99" s="22" t="str">
        <f>[1]Heroes!D85</f>
        <v>1.7</v>
      </c>
      <c r="E99" s="22" t="str">
        <f>[1]Heroes!E85</f>
        <v>100</v>
      </c>
      <c r="F99" s="22">
        <f>[1]Heroes!F85</f>
        <v>0</v>
      </c>
      <c r="G99" s="22">
        <f>[1]Heroes!G85</f>
        <v>0</v>
      </c>
      <c r="H99" s="22">
        <f>[1]Heroes!H85</f>
        <v>0</v>
      </c>
      <c r="I99" s="22">
        <f>[1]Heroes!I85</f>
        <v>0</v>
      </c>
      <c r="J99" s="22">
        <f>[1]Heroes!J85</f>
        <v>0</v>
      </c>
      <c r="K99" s="22">
        <f>[1]Heroes!K85</f>
        <v>0</v>
      </c>
    </row>
    <row r="100" spans="1:11" x14ac:dyDescent="0.25">
      <c r="A100" s="22" t="str">
        <f>[1]Heroes!A86</f>
        <v>Batrider</v>
      </c>
      <c r="B100" s="22" t="str">
        <f>[1]Heroes!B86</f>
        <v>int</v>
      </c>
      <c r="C100" s="22" t="str">
        <f>[1]Heroes!C86</f>
        <v>Ranged</v>
      </c>
      <c r="D100" s="22" t="str">
        <f>[1]Heroes!D86</f>
        <v>1.7</v>
      </c>
      <c r="E100" s="22" t="str">
        <f>[1]Heroes!E86</f>
        <v>100</v>
      </c>
      <c r="F100" s="22">
        <f>[1]Heroes!F86</f>
        <v>0</v>
      </c>
      <c r="G100" s="22">
        <f>[1]Heroes!G86</f>
        <v>0</v>
      </c>
      <c r="H100" s="22">
        <f>[1]Heroes!H86</f>
        <v>0</v>
      </c>
      <c r="I100" s="22">
        <f>[1]Heroes!I86</f>
        <v>0</v>
      </c>
      <c r="J100" s="22">
        <f>[1]Heroes!J86</f>
        <v>0</v>
      </c>
      <c r="K100" s="22">
        <f>[1]Heroes!K86</f>
        <v>0</v>
      </c>
    </row>
    <row r="101" spans="1:11" x14ac:dyDescent="0.25">
      <c r="A101" s="22" t="str">
        <f>[1]Heroes!A87</f>
        <v>Chen</v>
      </c>
      <c r="B101" s="22" t="str">
        <f>[1]Heroes!B87</f>
        <v>int</v>
      </c>
      <c r="C101" s="22" t="str">
        <f>[1]Heroes!C87</f>
        <v>Ranged</v>
      </c>
      <c r="D101" s="22" t="str">
        <f>[1]Heroes!D87</f>
        <v>1.7</v>
      </c>
      <c r="E101" s="22" t="str">
        <f>[1]Heroes!E87</f>
        <v>100</v>
      </c>
      <c r="F101" s="22">
        <f>[1]Heroes!F87</f>
        <v>0</v>
      </c>
      <c r="G101" s="22">
        <f>[1]Heroes!G87</f>
        <v>0</v>
      </c>
      <c r="H101" s="22">
        <f>[1]Heroes!H87</f>
        <v>0</v>
      </c>
      <c r="I101" s="22">
        <f>[1]Heroes!I87</f>
        <v>0</v>
      </c>
      <c r="J101" s="22">
        <f>[1]Heroes!J87</f>
        <v>0</v>
      </c>
      <c r="K101" s="22">
        <f>[1]Heroes!K87</f>
        <v>0</v>
      </c>
    </row>
    <row r="102" spans="1:11" x14ac:dyDescent="0.25">
      <c r="A102" s="22" t="str">
        <f>[1]Heroes!A88</f>
        <v>Spectre</v>
      </c>
      <c r="B102" s="22" t="str">
        <f>[1]Heroes!B88</f>
        <v>agi</v>
      </c>
      <c r="C102" s="22" t="str">
        <f>[1]Heroes!C88</f>
        <v>Melee</v>
      </c>
      <c r="D102" s="22" t="str">
        <f>[1]Heroes!D88</f>
        <v>1.7</v>
      </c>
      <c r="E102" s="22" t="str">
        <f>[1]Heroes!E88</f>
        <v>100</v>
      </c>
      <c r="F102" s="22">
        <f>[1]Heroes!F88</f>
        <v>0</v>
      </c>
      <c r="G102" s="22">
        <f>[1]Heroes!G88</f>
        <v>0</v>
      </c>
      <c r="H102" s="22">
        <f>[1]Heroes!H88</f>
        <v>0</v>
      </c>
      <c r="I102" s="22">
        <f>[1]Heroes!I88</f>
        <v>0</v>
      </c>
      <c r="J102" s="22">
        <f>[1]Heroes!J88</f>
        <v>0</v>
      </c>
      <c r="K102" s="22">
        <f>[1]Heroes!K88</f>
        <v>0</v>
      </c>
    </row>
    <row r="103" spans="1:11" x14ac:dyDescent="0.25">
      <c r="A103" s="22" t="str">
        <f>[1]Heroes!A89</f>
        <v>Ancient Apparition</v>
      </c>
      <c r="B103" s="22" t="str">
        <f>[1]Heroes!B89</f>
        <v>int</v>
      </c>
      <c r="C103" s="22" t="str">
        <f>[1]Heroes!C89</f>
        <v>Ranged</v>
      </c>
      <c r="D103" s="22" t="str">
        <f>[1]Heroes!D89</f>
        <v>1.7</v>
      </c>
      <c r="E103" s="22" t="str">
        <f>[1]Heroes!E89</f>
        <v>100</v>
      </c>
      <c r="F103" s="22">
        <f>[1]Heroes!F89</f>
        <v>0</v>
      </c>
      <c r="G103" s="22">
        <f>[1]Heroes!G89</f>
        <v>0</v>
      </c>
      <c r="H103" s="22">
        <f>[1]Heroes!H89</f>
        <v>0</v>
      </c>
      <c r="I103" s="22">
        <f>[1]Heroes!I89</f>
        <v>0</v>
      </c>
      <c r="J103" s="22">
        <f>[1]Heroes!J89</f>
        <v>0</v>
      </c>
      <c r="K103" s="22">
        <f>[1]Heroes!K89</f>
        <v>0</v>
      </c>
    </row>
    <row r="104" spans="1:11" x14ac:dyDescent="0.25">
      <c r="A104" s="22" t="str">
        <f>[1]Heroes!A90</f>
        <v>Doom</v>
      </c>
      <c r="B104" s="22" t="str">
        <f>[1]Heroes!B90</f>
        <v>str</v>
      </c>
      <c r="C104" s="22" t="str">
        <f>[1]Heroes!C90</f>
        <v>Melee</v>
      </c>
      <c r="D104" s="22" t="str">
        <f>[1]Heroes!D90</f>
        <v>1.9</v>
      </c>
      <c r="E104" s="22" t="str">
        <f>[1]Heroes!E90</f>
        <v>100</v>
      </c>
      <c r="F104" s="22">
        <f>[1]Heroes!F90</f>
        <v>0</v>
      </c>
      <c r="G104" s="22">
        <f>[1]Heroes!G90</f>
        <v>0</v>
      </c>
      <c r="H104" s="22">
        <f>[1]Heroes!H90</f>
        <v>0</v>
      </c>
      <c r="I104" s="22">
        <f>[1]Heroes!I90</f>
        <v>0</v>
      </c>
      <c r="J104" s="22">
        <f>[1]Heroes!J90</f>
        <v>0</v>
      </c>
      <c r="K104" s="22">
        <f>[1]Heroes!K90</f>
        <v>0</v>
      </c>
    </row>
    <row r="105" spans="1:11" x14ac:dyDescent="0.25">
      <c r="A105" s="22" t="str">
        <f>[1]Heroes!A91</f>
        <v>Earthshaker</v>
      </c>
      <c r="B105" s="22" t="str">
        <f>[1]Heroes!B91</f>
        <v>str</v>
      </c>
      <c r="C105" s="22" t="str">
        <f>[1]Heroes!C91</f>
        <v>Melee</v>
      </c>
      <c r="D105" s="22" t="str">
        <f>[1]Heroes!D91</f>
        <v>1.7</v>
      </c>
      <c r="E105" s="22" t="str">
        <f>[1]Heroes!E91</f>
        <v>100</v>
      </c>
      <c r="F105" s="22">
        <f>[1]Heroes!F91</f>
        <v>0</v>
      </c>
      <c r="G105" s="22">
        <f>[1]Heroes!G91</f>
        <v>0</v>
      </c>
      <c r="H105" s="22">
        <f>[1]Heroes!H91</f>
        <v>0</v>
      </c>
      <c r="I105" s="22">
        <f>[1]Heroes!I91</f>
        <v>0</v>
      </c>
      <c r="J105" s="22">
        <f>[1]Heroes!J91</f>
        <v>0</v>
      </c>
      <c r="K105" s="22">
        <f>[1]Heroes!K91</f>
        <v>0</v>
      </c>
    </row>
    <row r="106" spans="1:11" x14ac:dyDescent="0.25">
      <c r="A106" s="22" t="str">
        <f>[1]Heroes!A92</f>
        <v>Ursa</v>
      </c>
      <c r="B106" s="22" t="str">
        <f>[1]Heroes!B92</f>
        <v>agi</v>
      </c>
      <c r="C106" s="22" t="str">
        <f>[1]Heroes!C92</f>
        <v>Melee</v>
      </c>
      <c r="D106" s="22" t="str">
        <f>[1]Heroes!D92</f>
        <v>1.7</v>
      </c>
      <c r="E106" s="22" t="str">
        <f>[1]Heroes!E92</f>
        <v>100</v>
      </c>
      <c r="F106" s="22">
        <f>[1]Heroes!F92</f>
        <v>0</v>
      </c>
      <c r="G106" s="22">
        <f>[1]Heroes!G92</f>
        <v>0</v>
      </c>
      <c r="H106" s="22">
        <f>[1]Heroes!H92</f>
        <v>0</v>
      </c>
      <c r="I106" s="22">
        <f>[1]Heroes!I92</f>
        <v>0</v>
      </c>
      <c r="J106" s="22">
        <f>[1]Heroes!J92</f>
        <v>0</v>
      </c>
      <c r="K106" s="22">
        <f>[1]Heroes!K92</f>
        <v>0</v>
      </c>
    </row>
    <row r="107" spans="1:11" x14ac:dyDescent="0.25">
      <c r="A107" s="22" t="str">
        <f>[1]Heroes!A93</f>
        <v>Spirit Breaker</v>
      </c>
      <c r="B107" s="22" t="str">
        <f>[1]Heroes!B93</f>
        <v>str</v>
      </c>
      <c r="C107" s="22" t="str">
        <f>[1]Heroes!C93</f>
        <v>Melee</v>
      </c>
      <c r="D107" s="22" t="str">
        <f>[1]Heroes!D93</f>
        <v>1.9</v>
      </c>
      <c r="E107" s="22" t="str">
        <f>[1]Heroes!E93</f>
        <v>100</v>
      </c>
      <c r="F107" s="22">
        <f>[1]Heroes!F93</f>
        <v>0</v>
      </c>
      <c r="G107" s="22">
        <f>[1]Heroes!G93</f>
        <v>0</v>
      </c>
      <c r="H107" s="22">
        <f>[1]Heroes!H93</f>
        <v>0</v>
      </c>
      <c r="I107" s="22">
        <f>[1]Heroes!I93</f>
        <v>0</v>
      </c>
      <c r="J107" s="22">
        <f>[1]Heroes!J93</f>
        <v>0</v>
      </c>
      <c r="K107" s="22">
        <f>[1]Heroes!K93</f>
        <v>0</v>
      </c>
    </row>
    <row r="108" spans="1:11" x14ac:dyDescent="0.25">
      <c r="A108" s="22" t="str">
        <f>[1]Heroes!A94</f>
        <v>Gyrocopter</v>
      </c>
      <c r="B108" s="22" t="str">
        <f>[1]Heroes!B94</f>
        <v>agi</v>
      </c>
      <c r="C108" s="22" t="str">
        <f>[1]Heroes!C94</f>
        <v>Ranged</v>
      </c>
      <c r="D108" s="22" t="str">
        <f>[1]Heroes!D94</f>
        <v>1.7</v>
      </c>
      <c r="E108" s="22" t="str">
        <f>[1]Heroes!E94</f>
        <v>100</v>
      </c>
      <c r="F108" s="22">
        <f>[1]Heroes!F94</f>
        <v>0</v>
      </c>
      <c r="G108" s="22">
        <f>[1]Heroes!G94</f>
        <v>0</v>
      </c>
      <c r="H108" s="22">
        <f>[1]Heroes!H94</f>
        <v>0</v>
      </c>
      <c r="I108" s="22">
        <f>[1]Heroes!I94</f>
        <v>0</v>
      </c>
      <c r="J108" s="22">
        <f>[1]Heroes!J94</f>
        <v>0</v>
      </c>
      <c r="K108" s="22">
        <f>[1]Heroes!K94</f>
        <v>0</v>
      </c>
    </row>
    <row r="109" spans="1:11" x14ac:dyDescent="0.25">
      <c r="A109" s="22" t="str">
        <f>[1]Heroes!A95</f>
        <v>Alchemist</v>
      </c>
      <c r="B109" s="22" t="str">
        <f>[1]Heroes!B95</f>
        <v>str</v>
      </c>
      <c r="C109" s="22" t="str">
        <f>[1]Heroes!C95</f>
        <v>Melee</v>
      </c>
      <c r="D109" s="22" t="str">
        <f>[1]Heroes!D95</f>
        <v>1.7</v>
      </c>
      <c r="E109" s="22" t="str">
        <f>[1]Heroes!E95</f>
        <v>100</v>
      </c>
      <c r="F109" s="22">
        <f>[1]Heroes!F95</f>
        <v>0</v>
      </c>
      <c r="G109" s="22">
        <f>[1]Heroes!G95</f>
        <v>0</v>
      </c>
      <c r="H109" s="22">
        <f>[1]Heroes!H95</f>
        <v>0</v>
      </c>
      <c r="I109" s="22">
        <f>[1]Heroes!I95</f>
        <v>0</v>
      </c>
      <c r="J109" s="22">
        <f>[1]Heroes!J95</f>
        <v>0</v>
      </c>
      <c r="K109" s="22">
        <f>[1]Heroes!K95</f>
        <v>0</v>
      </c>
    </row>
    <row r="110" spans="1:11" x14ac:dyDescent="0.25">
      <c r="A110" s="22" t="str">
        <f>[1]Heroes!A96</f>
        <v>Invoker</v>
      </c>
      <c r="B110" s="22" t="str">
        <f>[1]Heroes!B96</f>
        <v>int</v>
      </c>
      <c r="C110" s="22" t="str">
        <f>[1]Heroes!C96</f>
        <v>Ranged</v>
      </c>
      <c r="D110" s="22" t="str">
        <f>[1]Heroes!D96</f>
        <v>1.7</v>
      </c>
      <c r="E110" s="22" t="str">
        <f>[1]Heroes!E96</f>
        <v>100</v>
      </c>
      <c r="F110" s="22">
        <f>[1]Heroes!F96</f>
        <v>0</v>
      </c>
      <c r="G110" s="22">
        <f>[1]Heroes!G96</f>
        <v>0</v>
      </c>
      <c r="H110" s="22">
        <f>[1]Heroes!H96</f>
        <v>0</v>
      </c>
      <c r="I110" s="22">
        <f>[1]Heroes!I96</f>
        <v>0</v>
      </c>
      <c r="J110" s="22">
        <f>[1]Heroes!J96</f>
        <v>0</v>
      </c>
      <c r="K110" s="22">
        <f>[1]Heroes!K96</f>
        <v>0</v>
      </c>
    </row>
    <row r="111" spans="1:11" x14ac:dyDescent="0.25">
      <c r="A111" s="22" t="str">
        <f>[1]Heroes!A97</f>
        <v>Silencer</v>
      </c>
      <c r="B111" s="22" t="str">
        <f>[1]Heroes!B97</f>
        <v>int</v>
      </c>
      <c r="C111" s="22" t="str">
        <f>[1]Heroes!C97</f>
        <v>Ranged</v>
      </c>
      <c r="D111" s="22" t="str">
        <f>[1]Heroes!D97</f>
        <v>1.7</v>
      </c>
      <c r="E111" s="22" t="str">
        <f>[1]Heroes!E97</f>
        <v>100</v>
      </c>
      <c r="F111" s="22">
        <f>[1]Heroes!F97</f>
        <v>0</v>
      </c>
      <c r="G111" s="22">
        <f>[1]Heroes!G97</f>
        <v>0</v>
      </c>
      <c r="H111" s="22">
        <f>[1]Heroes!H97</f>
        <v>0</v>
      </c>
      <c r="I111" s="22">
        <f>[1]Heroes!I97</f>
        <v>0</v>
      </c>
      <c r="J111" s="22">
        <f>[1]Heroes!J97</f>
        <v>0</v>
      </c>
      <c r="K111" s="22">
        <f>[1]Heroes!K97</f>
        <v>0</v>
      </c>
    </row>
    <row r="112" spans="1:11" x14ac:dyDescent="0.25">
      <c r="A112" s="22" t="str">
        <f>[1]Heroes!A98</f>
        <v>Outworld Devourer</v>
      </c>
      <c r="B112" s="22" t="str">
        <f>[1]Heroes!B98</f>
        <v>int</v>
      </c>
      <c r="C112" s="22" t="str">
        <f>[1]Heroes!C98</f>
        <v>Ranged</v>
      </c>
      <c r="D112" s="22" t="str">
        <f>[1]Heroes!D98</f>
        <v>1.9</v>
      </c>
      <c r="E112" s="22" t="str">
        <f>[1]Heroes!E98</f>
        <v>100</v>
      </c>
      <c r="F112" s="22">
        <f>[1]Heroes!F98</f>
        <v>0</v>
      </c>
      <c r="G112" s="22">
        <f>[1]Heroes!G98</f>
        <v>0</v>
      </c>
      <c r="H112" s="22">
        <f>[1]Heroes!H98</f>
        <v>0</v>
      </c>
      <c r="I112" s="22">
        <f>[1]Heroes!I98</f>
        <v>0</v>
      </c>
      <c r="J112" s="22">
        <f>[1]Heroes!J98</f>
        <v>0</v>
      </c>
      <c r="K112" s="22">
        <f>[1]Heroes!K98</f>
        <v>0</v>
      </c>
    </row>
    <row r="113" spans="1:11" x14ac:dyDescent="0.25">
      <c r="A113" s="22" t="str">
        <f>[1]Heroes!A99</f>
        <v>Lycan</v>
      </c>
      <c r="B113" s="22" t="str">
        <f>[1]Heroes!B99</f>
        <v>str</v>
      </c>
      <c r="C113" s="22" t="str">
        <f>[1]Heroes!C99</f>
        <v>Melee</v>
      </c>
      <c r="D113" s="22" t="str">
        <f>[1]Heroes!D99</f>
        <v>1.7</v>
      </c>
      <c r="E113" s="22" t="str">
        <f>[1]Heroes!E99</f>
        <v>100</v>
      </c>
      <c r="F113" s="22">
        <f>[1]Heroes!F99</f>
        <v>0</v>
      </c>
      <c r="G113" s="22">
        <f>[1]Heroes!G99</f>
        <v>0</v>
      </c>
      <c r="H113" s="22">
        <f>[1]Heroes!H99</f>
        <v>0</v>
      </c>
      <c r="I113" s="22">
        <f>[1]Heroes!I99</f>
        <v>0</v>
      </c>
      <c r="J113" s="22">
        <f>[1]Heroes!J99</f>
        <v>0</v>
      </c>
      <c r="K113" s="22">
        <f>[1]Heroes!K99</f>
        <v>0</v>
      </c>
    </row>
    <row r="114" spans="1:11" x14ac:dyDescent="0.25">
      <c r="A114" s="22" t="str">
        <f>[1]Heroes!A100</f>
        <v>Brewmaster</v>
      </c>
      <c r="B114" s="22" t="str">
        <f>[1]Heroes!B100</f>
        <v>str</v>
      </c>
      <c r="C114" s="22" t="str">
        <f>[1]Heroes!C100</f>
        <v>Melee</v>
      </c>
      <c r="D114" s="22" t="str">
        <f>[1]Heroes!D100</f>
        <v>1.7</v>
      </c>
      <c r="E114" s="22" t="str">
        <f>[1]Heroes!E100</f>
        <v>100</v>
      </c>
      <c r="F114" s="22">
        <f>[1]Heroes!F100</f>
        <v>0</v>
      </c>
      <c r="G114" s="22">
        <f>[1]Heroes!G100</f>
        <v>0</v>
      </c>
      <c r="H114" s="22">
        <f>[1]Heroes!H100</f>
        <v>0</v>
      </c>
      <c r="I114" s="22">
        <f>[1]Heroes!I100</f>
        <v>0</v>
      </c>
      <c r="J114" s="22">
        <f>[1]Heroes!J100</f>
        <v>0</v>
      </c>
      <c r="K114" s="22">
        <f>[1]Heroes!K100</f>
        <v>0</v>
      </c>
    </row>
    <row r="115" spans="1:11" x14ac:dyDescent="0.25">
      <c r="A115" s="22" t="str">
        <f>[1]Heroes!A101</f>
        <v>Shadow Demon</v>
      </c>
      <c r="B115" s="22" t="str">
        <f>[1]Heroes!B101</f>
        <v>int</v>
      </c>
      <c r="C115" s="22" t="str">
        <f>[1]Heroes!C101</f>
        <v>Ranged</v>
      </c>
      <c r="D115" s="22" t="str">
        <f>[1]Heroes!D101</f>
        <v>1.7</v>
      </c>
      <c r="E115" s="22" t="str">
        <f>[1]Heroes!E101</f>
        <v>100</v>
      </c>
      <c r="F115" s="22">
        <f>[1]Heroes!F101</f>
        <v>0</v>
      </c>
      <c r="G115" s="22">
        <f>[1]Heroes!G101</f>
        <v>0</v>
      </c>
      <c r="H115" s="22">
        <f>[1]Heroes!H101</f>
        <v>0</v>
      </c>
      <c r="I115" s="22">
        <f>[1]Heroes!I101</f>
        <v>0</v>
      </c>
      <c r="J115" s="22">
        <f>[1]Heroes!J101</f>
        <v>0</v>
      </c>
      <c r="K115" s="22">
        <f>[1]Heroes!K101</f>
        <v>0</v>
      </c>
    </row>
    <row r="116" spans="1:11" x14ac:dyDescent="0.25">
      <c r="A116" s="22" t="str">
        <f>[1]Heroes!A102</f>
        <v>Juggernaut</v>
      </c>
      <c r="B116" s="22" t="str">
        <f>[1]Heroes!B102</f>
        <v>agi</v>
      </c>
      <c r="C116" s="22" t="str">
        <f>[1]Heroes!C102</f>
        <v>Melee</v>
      </c>
      <c r="D116" s="22" t="str">
        <f>[1]Heroes!D102</f>
        <v>1.4</v>
      </c>
      <c r="E116" s="22" t="str">
        <f>[1]Heroes!E102</f>
        <v>100</v>
      </c>
      <c r="F116" s="22">
        <f>[1]Heroes!F102</f>
        <v>0</v>
      </c>
      <c r="G116" s="22">
        <f>[1]Heroes!G102</f>
        <v>0</v>
      </c>
      <c r="H116" s="22">
        <f>[1]Heroes!H102</f>
        <v>0</v>
      </c>
      <c r="I116" s="22">
        <f>[1]Heroes!I102</f>
        <v>0</v>
      </c>
      <c r="J116" s="22">
        <f>[1]Heroes!J102</f>
        <v>0</v>
      </c>
      <c r="K116" s="22">
        <f>[1]Heroes!K102</f>
        <v>0</v>
      </c>
    </row>
    <row r="117" spans="1:11" x14ac:dyDescent="0.25">
      <c r="A117" s="22" t="str">
        <f>[1]Heroes!A103</f>
        <v>Lone Druid</v>
      </c>
      <c r="B117" s="22" t="str">
        <f>[1]Heroes!B103</f>
        <v>agi</v>
      </c>
      <c r="C117" s="22" t="str">
        <f>[1]Heroes!C103</f>
        <v>Ranged</v>
      </c>
      <c r="D117" s="22" t="str">
        <f>[1]Heroes!D103</f>
        <v>1.6</v>
      </c>
      <c r="E117" s="22" t="str">
        <f>[1]Heroes!E103</f>
        <v>100</v>
      </c>
      <c r="F117" s="22">
        <f>[1]Heroes!F103</f>
        <v>0</v>
      </c>
      <c r="G117" s="22">
        <f>[1]Heroes!G103</f>
        <v>0</v>
      </c>
      <c r="H117" s="22">
        <f>[1]Heroes!H103</f>
        <v>0</v>
      </c>
      <c r="I117" s="22">
        <f>[1]Heroes!I103</f>
        <v>0</v>
      </c>
      <c r="J117" s="22">
        <f>[1]Heroes!J103</f>
        <v>0</v>
      </c>
      <c r="K117" s="22">
        <f>[1]Heroes!K103</f>
        <v>0</v>
      </c>
    </row>
    <row r="118" spans="1:11" x14ac:dyDescent="0.25">
      <c r="A118" s="22" t="str">
        <f>[1]Heroes!A104</f>
        <v>Chaos Knight</v>
      </c>
      <c r="B118" s="22" t="str">
        <f>[1]Heroes!B104</f>
        <v>str</v>
      </c>
      <c r="C118" s="22" t="str">
        <f>[1]Heroes!C104</f>
        <v>Melee</v>
      </c>
      <c r="D118" s="22" t="str">
        <f>[1]Heroes!D104</f>
        <v>1.7</v>
      </c>
      <c r="E118" s="22" t="str">
        <f>[1]Heroes!E104</f>
        <v>100</v>
      </c>
      <c r="F118" s="22">
        <f>[1]Heroes!F104</f>
        <v>0</v>
      </c>
      <c r="G118" s="22">
        <f>[1]Heroes!G104</f>
        <v>0</v>
      </c>
      <c r="H118" s="22">
        <f>[1]Heroes!H104</f>
        <v>0</v>
      </c>
      <c r="I118" s="22">
        <f>[1]Heroes!I104</f>
        <v>0</v>
      </c>
      <c r="J118" s="22">
        <f>[1]Heroes!J104</f>
        <v>0</v>
      </c>
      <c r="K118" s="22">
        <f>[1]Heroes!K104</f>
        <v>0</v>
      </c>
    </row>
    <row r="119" spans="1:11" x14ac:dyDescent="0.25">
      <c r="A119" s="22" t="str">
        <f>[1]Heroes!A105</f>
        <v>Meepo</v>
      </c>
      <c r="B119" s="22" t="str">
        <f>[1]Heroes!B105</f>
        <v>agi</v>
      </c>
      <c r="C119" s="22" t="str">
        <f>[1]Heroes!C105</f>
        <v>Melee</v>
      </c>
      <c r="D119" s="22" t="str">
        <f>[1]Heroes!D105</f>
        <v>1.7</v>
      </c>
      <c r="E119" s="22" t="str">
        <f>[1]Heroes!E105</f>
        <v>100</v>
      </c>
      <c r="F119" s="22">
        <f>[1]Heroes!F105</f>
        <v>0</v>
      </c>
      <c r="G119" s="22">
        <f>[1]Heroes!G105</f>
        <v>0</v>
      </c>
      <c r="H119" s="22">
        <f>[1]Heroes!H105</f>
        <v>0</v>
      </c>
      <c r="I119" s="22">
        <f>[1]Heroes!I105</f>
        <v>0</v>
      </c>
      <c r="J119" s="22">
        <f>[1]Heroes!J105</f>
        <v>0</v>
      </c>
      <c r="K119" s="22">
        <f>[1]Heroes!K105</f>
        <v>0</v>
      </c>
    </row>
    <row r="120" spans="1:11" x14ac:dyDescent="0.25">
      <c r="A120" s="22" t="str">
        <f>[1]Heroes!A106</f>
        <v>Treant Protector</v>
      </c>
      <c r="B120" s="22" t="str">
        <f>[1]Heroes!B106</f>
        <v>str</v>
      </c>
      <c r="C120" s="22" t="str">
        <f>[1]Heroes!C106</f>
        <v>Melee</v>
      </c>
      <c r="D120" s="22" t="str">
        <f>[1]Heroes!D106</f>
        <v>1.9</v>
      </c>
      <c r="E120" s="22" t="str">
        <f>[1]Heroes!E106</f>
        <v>100</v>
      </c>
      <c r="F120" s="22">
        <f>[1]Heroes!F106</f>
        <v>0</v>
      </c>
      <c r="G120" s="22">
        <f>[1]Heroes!G106</f>
        <v>0</v>
      </c>
      <c r="H120" s="22">
        <f>[1]Heroes!H106</f>
        <v>0</v>
      </c>
      <c r="I120" s="22">
        <f>[1]Heroes!I106</f>
        <v>0</v>
      </c>
      <c r="J120" s="22">
        <f>[1]Heroes!J106</f>
        <v>0</v>
      </c>
      <c r="K120" s="22">
        <f>[1]Heroes!K106</f>
        <v>0</v>
      </c>
    </row>
    <row r="121" spans="1:11" x14ac:dyDescent="0.25">
      <c r="A121" s="22" t="str">
        <f>[1]Heroes!A107</f>
        <v>Ogre Magi</v>
      </c>
      <c r="B121" s="22" t="str">
        <f>[1]Heroes!B107</f>
        <v>int</v>
      </c>
      <c r="C121" s="22" t="str">
        <f>[1]Heroes!C107</f>
        <v>Melee</v>
      </c>
      <c r="D121" s="22" t="str">
        <f>[1]Heroes!D107</f>
        <v>1.7</v>
      </c>
      <c r="E121" s="22" t="str">
        <f>[1]Heroes!E107</f>
        <v>100</v>
      </c>
      <c r="F121" s="22">
        <f>[1]Heroes!F107</f>
        <v>0</v>
      </c>
      <c r="G121" s="22">
        <f>[1]Heroes!G107</f>
        <v>0</v>
      </c>
      <c r="H121" s="22">
        <f>[1]Heroes!H107</f>
        <v>0</v>
      </c>
      <c r="I121" s="22">
        <f>[1]Heroes!I107</f>
        <v>0</v>
      </c>
      <c r="J121" s="22">
        <f>[1]Heroes!J107</f>
        <v>0</v>
      </c>
      <c r="K121" s="22">
        <f>[1]Heroes!K107</f>
        <v>0</v>
      </c>
    </row>
    <row r="122" spans="1:11" x14ac:dyDescent="0.25">
      <c r="A122" s="22" t="str">
        <f>[1]Heroes!A108</f>
        <v>Undying</v>
      </c>
      <c r="B122" s="22" t="str">
        <f>[1]Heroes!B108</f>
        <v>str</v>
      </c>
      <c r="C122" s="22" t="str">
        <f>[1]Heroes!C108</f>
        <v>Melee</v>
      </c>
      <c r="D122" s="22" t="str">
        <f>[1]Heroes!D108</f>
        <v>1.7</v>
      </c>
      <c r="E122" s="22" t="str">
        <f>[1]Heroes!E108</f>
        <v>100</v>
      </c>
      <c r="F122" s="22">
        <f>[1]Heroes!F108</f>
        <v>0</v>
      </c>
      <c r="G122" s="22">
        <f>[1]Heroes!G108</f>
        <v>0</v>
      </c>
      <c r="H122" s="22">
        <f>[1]Heroes!H108</f>
        <v>0</v>
      </c>
      <c r="I122" s="22">
        <f>[1]Heroes!I108</f>
        <v>0</v>
      </c>
      <c r="J122" s="22">
        <f>[1]Heroes!J108</f>
        <v>0</v>
      </c>
      <c r="K122" s="22">
        <f>[1]Heroes!K108</f>
        <v>0</v>
      </c>
    </row>
    <row r="123" spans="1:11" x14ac:dyDescent="0.25">
      <c r="A123" s="22" t="str">
        <f>[1]Heroes!A109</f>
        <v>Rubick</v>
      </c>
      <c r="B123" s="22" t="str">
        <f>[1]Heroes!B109</f>
        <v>int</v>
      </c>
      <c r="C123" s="22" t="str">
        <f>[1]Heroes!C109</f>
        <v>Ranged</v>
      </c>
      <c r="D123" s="22" t="str">
        <f>[1]Heroes!D109</f>
        <v>1.7</v>
      </c>
      <c r="E123" s="22" t="str">
        <f>[1]Heroes!E109</f>
        <v>100</v>
      </c>
      <c r="F123" s="22">
        <f>[1]Heroes!F109</f>
        <v>0</v>
      </c>
      <c r="G123" s="22">
        <f>[1]Heroes!G109</f>
        <v>0</v>
      </c>
      <c r="H123" s="22">
        <f>[1]Heroes!H109</f>
        <v>0</v>
      </c>
      <c r="I123" s="22">
        <f>[1]Heroes!I109</f>
        <v>0</v>
      </c>
      <c r="J123" s="22">
        <f>[1]Heroes!J109</f>
        <v>0</v>
      </c>
      <c r="K123" s="22">
        <f>[1]Heroes!K109</f>
        <v>0</v>
      </c>
    </row>
    <row r="124" spans="1:11" x14ac:dyDescent="0.25">
      <c r="A124" s="22" t="str">
        <f>[1]Heroes!A110</f>
        <v>Disruptor</v>
      </c>
      <c r="B124" s="22" t="str">
        <f>[1]Heroes!B110</f>
        <v>int</v>
      </c>
      <c r="C124" s="22" t="str">
        <f>[1]Heroes!C110</f>
        <v>Ranged</v>
      </c>
      <c r="D124" s="22" t="str">
        <f>[1]Heroes!D110</f>
        <v>1.7</v>
      </c>
      <c r="E124" s="22" t="str">
        <f>[1]Heroes!E110</f>
        <v>100</v>
      </c>
      <c r="F124" s="22">
        <f>[1]Heroes!F110</f>
        <v>0</v>
      </c>
      <c r="G124" s="22">
        <f>[1]Heroes!G110</f>
        <v>0</v>
      </c>
      <c r="H124" s="22">
        <f>[1]Heroes!H110</f>
        <v>0</v>
      </c>
      <c r="I124" s="22">
        <f>[1]Heroes!I110</f>
        <v>0</v>
      </c>
      <c r="J124" s="22">
        <f>[1]Heroes!J110</f>
        <v>0</v>
      </c>
      <c r="K124" s="22">
        <f>[1]Heroes!K110</f>
        <v>0</v>
      </c>
    </row>
    <row r="125" spans="1:11" x14ac:dyDescent="0.25">
      <c r="A125" s="22" t="str">
        <f>[1]Heroes!A111</f>
        <v>Nyx Assassin</v>
      </c>
      <c r="B125" s="22" t="str">
        <f>[1]Heroes!B111</f>
        <v>agi</v>
      </c>
      <c r="C125" s="22" t="str">
        <f>[1]Heroes!C111</f>
        <v>Melee</v>
      </c>
      <c r="D125" s="22" t="str">
        <f>[1]Heroes!D111</f>
        <v>1.7</v>
      </c>
      <c r="E125" s="22" t="str">
        <f>[1]Heroes!E111</f>
        <v>100</v>
      </c>
      <c r="F125" s="22">
        <f>[1]Heroes!F111</f>
        <v>0</v>
      </c>
      <c r="G125" s="22">
        <f>[1]Heroes!G111</f>
        <v>0</v>
      </c>
      <c r="H125" s="22">
        <f>[1]Heroes!H111</f>
        <v>0</v>
      </c>
      <c r="I125" s="22">
        <f>[1]Heroes!I111</f>
        <v>0</v>
      </c>
      <c r="J125" s="22">
        <f>[1]Heroes!J111</f>
        <v>0</v>
      </c>
      <c r="K125" s="22">
        <f>[1]Heroes!K111</f>
        <v>0</v>
      </c>
    </row>
    <row r="126" spans="1:11" x14ac:dyDescent="0.25">
      <c r="A126" s="22" t="str">
        <f>[1]Heroes!A112</f>
        <v>Naga Siren</v>
      </c>
      <c r="B126" s="22" t="str">
        <f>[1]Heroes!B112</f>
        <v>agi</v>
      </c>
      <c r="C126" s="22" t="str">
        <f>[1]Heroes!C112</f>
        <v>Melee</v>
      </c>
      <c r="D126" s="22" t="str">
        <f>[1]Heroes!D112</f>
        <v>1.7</v>
      </c>
      <c r="E126" s="22" t="str">
        <f>[1]Heroes!E112</f>
        <v>100</v>
      </c>
      <c r="F126" s="22">
        <f>[1]Heroes!F112</f>
        <v>0</v>
      </c>
      <c r="G126" s="22">
        <f>[1]Heroes!G112</f>
        <v>0</v>
      </c>
      <c r="H126" s="22">
        <f>[1]Heroes!H112</f>
        <v>0</v>
      </c>
      <c r="I126" s="22">
        <f>[1]Heroes!I112</f>
        <v>0</v>
      </c>
      <c r="J126" s="22">
        <f>[1]Heroes!J112</f>
        <v>0</v>
      </c>
      <c r="K126" s="22">
        <f>[1]Heroes!K112</f>
        <v>0</v>
      </c>
    </row>
    <row r="127" spans="1:11" x14ac:dyDescent="0.25">
      <c r="A127" s="22" t="str">
        <f>[1]Heroes!A113</f>
        <v>Mirana</v>
      </c>
      <c r="B127" s="22" t="str">
        <f>[1]Heroes!B113</f>
        <v>agi</v>
      </c>
      <c r="C127" s="22" t="str">
        <f>[1]Heroes!C113</f>
        <v>Ranged</v>
      </c>
      <c r="D127" s="22" t="str">
        <f>[1]Heroes!D113</f>
        <v>1.7</v>
      </c>
      <c r="E127" s="22" t="str">
        <f>[1]Heroes!E113</f>
        <v>100</v>
      </c>
      <c r="F127" s="22">
        <f>[1]Heroes!F113</f>
        <v>0</v>
      </c>
      <c r="G127" s="22">
        <f>[1]Heroes!G113</f>
        <v>0</v>
      </c>
      <c r="H127" s="22">
        <f>[1]Heroes!H113</f>
        <v>0</v>
      </c>
      <c r="I127" s="22">
        <f>[1]Heroes!I113</f>
        <v>0</v>
      </c>
      <c r="J127" s="22">
        <f>[1]Heroes!J113</f>
        <v>0</v>
      </c>
      <c r="K127" s="22">
        <f>[1]Heroes!K113</f>
        <v>0</v>
      </c>
    </row>
    <row r="128" spans="1:11" x14ac:dyDescent="0.25">
      <c r="A128" s="22" t="str">
        <f>[1]Heroes!A114</f>
        <v>Keeper of the Light</v>
      </c>
      <c r="B128" s="22" t="str">
        <f>[1]Heroes!B114</f>
        <v>int</v>
      </c>
      <c r="C128" s="22" t="str">
        <f>[1]Heroes!C114</f>
        <v>Ranged</v>
      </c>
      <c r="D128" s="22" t="str">
        <f>[1]Heroes!D114</f>
        <v>1.7</v>
      </c>
      <c r="E128" s="22" t="str">
        <f>[1]Heroes!E114</f>
        <v>100</v>
      </c>
      <c r="F128" s="22">
        <f>[1]Heroes!F114</f>
        <v>0</v>
      </c>
      <c r="G128" s="22">
        <f>[1]Heroes!G114</f>
        <v>0</v>
      </c>
      <c r="H128" s="22">
        <f>[1]Heroes!H114</f>
        <v>0</v>
      </c>
      <c r="I128" s="22">
        <f>[1]Heroes!I114</f>
        <v>0</v>
      </c>
      <c r="J128" s="22">
        <f>[1]Heroes!J114</f>
        <v>0</v>
      </c>
      <c r="K128" s="22">
        <f>[1]Heroes!K114</f>
        <v>0</v>
      </c>
    </row>
    <row r="129" spans="1:11" x14ac:dyDescent="0.25">
      <c r="A129" s="22" t="str">
        <f>[1]Heroes!A115</f>
        <v>Io</v>
      </c>
      <c r="B129" s="22" t="str">
        <f>[1]Heroes!B115</f>
        <v>str</v>
      </c>
      <c r="C129" s="22" t="str">
        <f>[1]Heroes!C115</f>
        <v>Ranged</v>
      </c>
      <c r="D129" s="22" t="str">
        <f>[1]Heroes!D115</f>
        <v>1.7</v>
      </c>
      <c r="E129" s="22" t="str">
        <f>[1]Heroes!E115</f>
        <v>100</v>
      </c>
      <c r="F129" s="22">
        <f>[1]Heroes!F115</f>
        <v>0</v>
      </c>
      <c r="G129" s="22">
        <f>[1]Heroes!G115</f>
        <v>0</v>
      </c>
      <c r="H129" s="22">
        <f>[1]Heroes!H115</f>
        <v>0</v>
      </c>
      <c r="I129" s="22">
        <f>[1]Heroes!I115</f>
        <v>0</v>
      </c>
      <c r="J129" s="22">
        <f>[1]Heroes!J115</f>
        <v>0</v>
      </c>
      <c r="K129" s="22">
        <f>[1]Heroes!K115</f>
        <v>0</v>
      </c>
    </row>
    <row r="130" spans="1:11" x14ac:dyDescent="0.25">
      <c r="A130" s="22" t="str">
        <f>[1]Heroes!A116</f>
        <v>Visage</v>
      </c>
      <c r="B130" s="22" t="str">
        <f>[1]Heroes!B116</f>
        <v>int</v>
      </c>
      <c r="C130" s="22" t="str">
        <f>[1]Heroes!C116</f>
        <v>Ranged</v>
      </c>
      <c r="D130" s="22" t="str">
        <f>[1]Heroes!D116</f>
        <v>1.7</v>
      </c>
      <c r="E130" s="22" t="str">
        <f>[1]Heroes!E116</f>
        <v>100</v>
      </c>
      <c r="F130" s="22">
        <f>[1]Heroes!F116</f>
        <v>0</v>
      </c>
      <c r="G130" s="22">
        <f>[1]Heroes!G116</f>
        <v>0</v>
      </c>
      <c r="H130" s="22">
        <f>[1]Heroes!H116</f>
        <v>0</v>
      </c>
      <c r="I130" s="22">
        <f>[1]Heroes!I116</f>
        <v>0</v>
      </c>
      <c r="J130" s="22">
        <f>[1]Heroes!J116</f>
        <v>0</v>
      </c>
      <c r="K130" s="22">
        <f>[1]Heroes!K116</f>
        <v>0</v>
      </c>
    </row>
    <row r="131" spans="1:11" x14ac:dyDescent="0.25">
      <c r="A131" s="22" t="str">
        <f>[1]Heroes!A117</f>
        <v>Slark</v>
      </c>
      <c r="B131" s="22" t="str">
        <f>[1]Heroes!B117</f>
        <v>agi</v>
      </c>
      <c r="C131" s="22" t="str">
        <f>[1]Heroes!C117</f>
        <v>Melee</v>
      </c>
      <c r="D131" s="22" t="str">
        <f>[1]Heroes!D117</f>
        <v>1.7</v>
      </c>
      <c r="E131" s="22" t="str">
        <f>[1]Heroes!E117</f>
        <v>100</v>
      </c>
      <c r="F131" s="22">
        <f>[1]Heroes!F117</f>
        <v>0</v>
      </c>
      <c r="G131" s="22">
        <f>[1]Heroes!G117</f>
        <v>0</v>
      </c>
      <c r="H131" s="22">
        <f>[1]Heroes!H117</f>
        <v>0</v>
      </c>
      <c r="I131" s="22">
        <f>[1]Heroes!I117</f>
        <v>0</v>
      </c>
      <c r="J131" s="22">
        <f>[1]Heroes!J117</f>
        <v>0</v>
      </c>
      <c r="K131" s="22">
        <f>[1]Heroes!K117</f>
        <v>0</v>
      </c>
    </row>
    <row r="132" spans="1:11" x14ac:dyDescent="0.25">
      <c r="A132" s="22" t="str">
        <f>[1]Heroes!A118</f>
        <v>Medusa</v>
      </c>
      <c r="B132" s="22" t="str">
        <f>[1]Heroes!B118</f>
        <v>agi</v>
      </c>
      <c r="C132" s="22" t="str">
        <f>[1]Heroes!C118</f>
        <v>Ranged</v>
      </c>
      <c r="D132" s="22" t="str">
        <f>[1]Heroes!D118</f>
        <v>1.7</v>
      </c>
      <c r="E132" s="22" t="str">
        <f>[1]Heroes!E118</f>
        <v>100</v>
      </c>
      <c r="F132" s="22">
        <f>[1]Heroes!F118</f>
        <v>0</v>
      </c>
      <c r="G132" s="22">
        <f>[1]Heroes!G118</f>
        <v>0</v>
      </c>
      <c r="H132" s="22">
        <f>[1]Heroes!H118</f>
        <v>0</v>
      </c>
      <c r="I132" s="22">
        <f>[1]Heroes!I118</f>
        <v>0</v>
      </c>
      <c r="J132" s="22">
        <f>[1]Heroes!J118</f>
        <v>0</v>
      </c>
      <c r="K132" s="22">
        <f>[1]Heroes!K118</f>
        <v>0</v>
      </c>
    </row>
    <row r="133" spans="1:11" x14ac:dyDescent="0.25">
      <c r="A133" s="22" t="str">
        <f>[1]Heroes!A119</f>
        <v>Troll Warlord</v>
      </c>
      <c r="B133" s="22" t="str">
        <f>[1]Heroes!B119</f>
        <v>agi</v>
      </c>
      <c r="C133" s="22" t="str">
        <f>[1]Heroes!C119</f>
        <v>Ranged</v>
      </c>
      <c r="D133" s="22" t="str">
        <f>[1]Heroes!D119</f>
        <v>1.7</v>
      </c>
      <c r="E133" s="22" t="str">
        <f>[1]Heroes!E119</f>
        <v>100</v>
      </c>
      <c r="F133" s="22">
        <f>[1]Heroes!F119</f>
        <v>0</v>
      </c>
      <c r="G133" s="22">
        <f>[1]Heroes!G119</f>
        <v>0</v>
      </c>
      <c r="H133" s="22">
        <f>[1]Heroes!H119</f>
        <v>0</v>
      </c>
      <c r="I133" s="22">
        <f>[1]Heroes!I119</f>
        <v>0</v>
      </c>
      <c r="J133" s="22">
        <f>[1]Heroes!J119</f>
        <v>0</v>
      </c>
      <c r="K133" s="22">
        <f>[1]Heroes!K119</f>
        <v>0</v>
      </c>
    </row>
    <row r="134" spans="1:11" x14ac:dyDescent="0.25">
      <c r="A134" s="22" t="str">
        <f>[1]Heroes!A120</f>
        <v>Centaur Warrunner</v>
      </c>
      <c r="B134" s="22" t="str">
        <f>[1]Heroes!B120</f>
        <v>str</v>
      </c>
      <c r="C134" s="22" t="str">
        <f>[1]Heroes!C120</f>
        <v>Melee</v>
      </c>
      <c r="D134" s="22" t="str">
        <f>[1]Heroes!D120</f>
        <v>1.7</v>
      </c>
      <c r="E134" s="22" t="str">
        <f>[1]Heroes!E120</f>
        <v>100</v>
      </c>
      <c r="F134" s="22">
        <f>[1]Heroes!F120</f>
        <v>0</v>
      </c>
      <c r="G134" s="22">
        <f>[1]Heroes!G120</f>
        <v>0</v>
      </c>
      <c r="H134" s="22">
        <f>[1]Heroes!H120</f>
        <v>0</v>
      </c>
      <c r="I134" s="22">
        <f>[1]Heroes!I120</f>
        <v>0</v>
      </c>
      <c r="J134" s="22">
        <f>[1]Heroes!J120</f>
        <v>0</v>
      </c>
      <c r="K134" s="22">
        <f>[1]Heroes!K120</f>
        <v>0</v>
      </c>
    </row>
    <row r="135" spans="1:11" x14ac:dyDescent="0.25">
      <c r="A135" s="22" t="str">
        <f>[1]Heroes!A121</f>
        <v>Magnus</v>
      </c>
      <c r="B135" s="22" t="str">
        <f>[1]Heroes!B121</f>
        <v>str</v>
      </c>
      <c r="C135" s="22" t="str">
        <f>[1]Heroes!C121</f>
        <v>Melee</v>
      </c>
      <c r="D135" s="22" t="str">
        <f>[1]Heroes!D121</f>
        <v>1.8</v>
      </c>
      <c r="E135" s="22" t="str">
        <f>[1]Heroes!E121</f>
        <v>100</v>
      </c>
      <c r="F135" s="22">
        <f>[1]Heroes!F121</f>
        <v>0</v>
      </c>
      <c r="G135" s="22">
        <f>[1]Heroes!G121</f>
        <v>0</v>
      </c>
      <c r="H135" s="22">
        <f>[1]Heroes!H121</f>
        <v>0</v>
      </c>
      <c r="I135" s="22">
        <f>[1]Heroes!I121</f>
        <v>0</v>
      </c>
      <c r="J135" s="22">
        <f>[1]Heroes!J121</f>
        <v>0</v>
      </c>
      <c r="K135" s="22">
        <f>[1]Heroes!K121</f>
        <v>0</v>
      </c>
    </row>
    <row r="136" spans="1:11" x14ac:dyDescent="0.25">
      <c r="A136" s="22" t="str">
        <f>[1]Heroes!A122</f>
        <v>Timbersaw</v>
      </c>
      <c r="B136" s="22" t="str">
        <f>[1]Heroes!B122</f>
        <v>str</v>
      </c>
      <c r="C136" s="22" t="str">
        <f>[1]Heroes!C122</f>
        <v>Melee</v>
      </c>
      <c r="D136" s="22" t="str">
        <f>[1]Heroes!D122</f>
        <v>1.7</v>
      </c>
      <c r="E136" s="22" t="str">
        <f>[1]Heroes!E122</f>
        <v>100</v>
      </c>
      <c r="F136" s="22">
        <f>[1]Heroes!F122</f>
        <v>0</v>
      </c>
      <c r="G136" s="22">
        <f>[1]Heroes!G122</f>
        <v>0</v>
      </c>
      <c r="H136" s="22">
        <f>[1]Heroes!H122</f>
        <v>0</v>
      </c>
      <c r="I136" s="22">
        <f>[1]Heroes!I122</f>
        <v>0</v>
      </c>
      <c r="J136" s="22">
        <f>[1]Heroes!J122</f>
        <v>0</v>
      </c>
      <c r="K136" s="22">
        <f>[1]Heroes!K122</f>
        <v>0</v>
      </c>
    </row>
    <row r="137" spans="1:11" x14ac:dyDescent="0.25">
      <c r="A137" s="22" t="str">
        <f>[1]Heroes!A123</f>
        <v>Bristleback</v>
      </c>
      <c r="B137" s="22" t="str">
        <f>[1]Heroes!B123</f>
        <v>str</v>
      </c>
      <c r="C137" s="22" t="str">
        <f>[1]Heroes!C123</f>
        <v>Melee</v>
      </c>
      <c r="D137" s="22" t="str">
        <f>[1]Heroes!D123</f>
        <v>1.8</v>
      </c>
      <c r="E137" s="22" t="str">
        <f>[1]Heroes!E123</f>
        <v>100</v>
      </c>
      <c r="F137" s="22">
        <f>[1]Heroes!F123</f>
        <v>0</v>
      </c>
      <c r="G137" s="22">
        <f>[1]Heroes!G123</f>
        <v>0</v>
      </c>
      <c r="H137" s="22">
        <f>[1]Heroes!H123</f>
        <v>0</v>
      </c>
      <c r="I137" s="22">
        <f>[1]Heroes!I123</f>
        <v>0</v>
      </c>
      <c r="J137" s="22">
        <f>[1]Heroes!J123</f>
        <v>0</v>
      </c>
      <c r="K137" s="22">
        <f>[1]Heroes!K123</f>
        <v>0</v>
      </c>
    </row>
    <row r="138" spans="1:11" x14ac:dyDescent="0.25">
      <c r="A138" s="22">
        <f>[1]Heroes!A124</f>
        <v>0</v>
      </c>
      <c r="B138" s="22">
        <f>[1]Heroes!B124</f>
        <v>0</v>
      </c>
      <c r="C138" s="22">
        <f>[1]Heroes!C124</f>
        <v>0</v>
      </c>
      <c r="D138" s="22">
        <f>[1]Heroes!D124</f>
        <v>0</v>
      </c>
      <c r="E138" s="22">
        <f>[1]Heroes!E124</f>
        <v>0</v>
      </c>
      <c r="F138" s="22">
        <f>[1]Heroes!F124</f>
        <v>0</v>
      </c>
      <c r="G138" s="22">
        <f>[1]Heroes!G124</f>
        <v>0</v>
      </c>
      <c r="H138" s="22">
        <f>[1]Heroes!H124</f>
        <v>0</v>
      </c>
      <c r="I138" s="22">
        <f>[1]Heroes!I124</f>
        <v>0</v>
      </c>
      <c r="J138" s="22">
        <f>[1]Heroes!J124</f>
        <v>0</v>
      </c>
      <c r="K138" s="22">
        <f>[1]Heroes!K124</f>
        <v>0</v>
      </c>
    </row>
    <row r="139" spans="1:11" x14ac:dyDescent="0.25">
      <c r="A139" s="22">
        <f>[1]Heroes!A125</f>
        <v>0</v>
      </c>
      <c r="B139" s="22">
        <f>[1]Heroes!B125</f>
        <v>0</v>
      </c>
      <c r="C139" s="22">
        <f>[1]Heroes!C125</f>
        <v>0</v>
      </c>
      <c r="D139" s="22">
        <f>[1]Heroes!D125</f>
        <v>0</v>
      </c>
      <c r="E139" s="22">
        <f>[1]Heroes!E125</f>
        <v>0</v>
      </c>
      <c r="F139" s="22">
        <f>[1]Heroes!F125</f>
        <v>0</v>
      </c>
      <c r="G139" s="22">
        <f>[1]Heroes!G125</f>
        <v>0</v>
      </c>
      <c r="H139" s="22">
        <f>[1]Heroes!H125</f>
        <v>0</v>
      </c>
      <c r="I139" s="22">
        <f>[1]Heroes!I125</f>
        <v>0</v>
      </c>
      <c r="J139" s="22">
        <f>[1]Heroes!J125</f>
        <v>0</v>
      </c>
      <c r="K139" s="22">
        <f>[1]Heroes!K125</f>
        <v>0</v>
      </c>
    </row>
    <row r="140" spans="1:11" x14ac:dyDescent="0.25">
      <c r="A140" s="22">
        <f>[1]Heroes!A126</f>
        <v>0</v>
      </c>
      <c r="B140" s="22">
        <f>[1]Heroes!B126</f>
        <v>0</v>
      </c>
      <c r="C140" s="22">
        <f>[1]Heroes!C126</f>
        <v>0</v>
      </c>
      <c r="D140" s="22">
        <f>[1]Heroes!D126</f>
        <v>0</v>
      </c>
      <c r="E140" s="22">
        <f>[1]Heroes!E126</f>
        <v>0</v>
      </c>
      <c r="F140" s="22">
        <f>[1]Heroes!F126</f>
        <v>0</v>
      </c>
      <c r="G140" s="22">
        <f>[1]Heroes!G126</f>
        <v>0</v>
      </c>
      <c r="H140" s="22">
        <f>[1]Heroes!H126</f>
        <v>0</v>
      </c>
      <c r="I140" s="22">
        <f>[1]Heroes!I126</f>
        <v>0</v>
      </c>
      <c r="J140" s="22">
        <f>[1]Heroes!J126</f>
        <v>0</v>
      </c>
      <c r="K140" s="22">
        <f>[1]Heroes!K126</f>
        <v>0</v>
      </c>
    </row>
    <row r="141" spans="1:11" x14ac:dyDescent="0.25">
      <c r="A141" s="22">
        <f>[1]Heroes!A127</f>
        <v>0</v>
      </c>
      <c r="B141" s="22">
        <f>[1]Heroes!B127</f>
        <v>0</v>
      </c>
      <c r="C141" s="22">
        <f>[1]Heroes!C127</f>
        <v>0</v>
      </c>
      <c r="D141" s="22">
        <f>[1]Heroes!D127</f>
        <v>0</v>
      </c>
      <c r="E141" s="22">
        <f>[1]Heroes!E127</f>
        <v>0</v>
      </c>
      <c r="F141" s="22">
        <f>[1]Heroes!F127</f>
        <v>0</v>
      </c>
      <c r="G141" s="22">
        <f>[1]Heroes!G127</f>
        <v>0</v>
      </c>
      <c r="H141" s="22">
        <f>[1]Heroes!H127</f>
        <v>0</v>
      </c>
      <c r="I141" s="22">
        <f>[1]Heroes!I127</f>
        <v>0</v>
      </c>
      <c r="J141" s="22">
        <f>[1]Heroes!J127</f>
        <v>0</v>
      </c>
      <c r="K141" s="22">
        <f>[1]Heroes!K127</f>
        <v>0</v>
      </c>
    </row>
    <row r="142" spans="1:11" x14ac:dyDescent="0.25">
      <c r="A142" s="22">
        <f>[1]Heroes!A128</f>
        <v>0</v>
      </c>
      <c r="B142" s="22">
        <f>[1]Heroes!B128</f>
        <v>0</v>
      </c>
      <c r="C142" s="22">
        <f>[1]Heroes!C128</f>
        <v>0</v>
      </c>
      <c r="D142" s="22">
        <f>[1]Heroes!D128</f>
        <v>0</v>
      </c>
      <c r="E142" s="22">
        <f>[1]Heroes!E128</f>
        <v>0</v>
      </c>
      <c r="F142" s="22">
        <f>[1]Heroes!F128</f>
        <v>0</v>
      </c>
      <c r="G142" s="22">
        <f>[1]Heroes!G128</f>
        <v>0</v>
      </c>
      <c r="H142" s="22">
        <f>[1]Heroes!H128</f>
        <v>0</v>
      </c>
      <c r="I142" s="22">
        <f>[1]Heroes!I128</f>
        <v>0</v>
      </c>
      <c r="J142" s="22">
        <f>[1]Heroes!J128</f>
        <v>0</v>
      </c>
      <c r="K142" s="22">
        <f>[1]Heroes!K128</f>
        <v>0</v>
      </c>
    </row>
    <row r="143" spans="1:11" x14ac:dyDescent="0.25">
      <c r="A143" s="22">
        <f>[1]Heroes!A129</f>
        <v>0</v>
      </c>
      <c r="B143" s="22">
        <f>[1]Heroes!B129</f>
        <v>0</v>
      </c>
      <c r="C143" s="22">
        <f>[1]Heroes!C129</f>
        <v>0</v>
      </c>
      <c r="D143" s="22">
        <f>[1]Heroes!D129</f>
        <v>0</v>
      </c>
      <c r="E143" s="22">
        <f>[1]Heroes!E129</f>
        <v>0</v>
      </c>
      <c r="F143" s="22">
        <f>[1]Heroes!F129</f>
        <v>0</v>
      </c>
      <c r="G143" s="22">
        <f>[1]Heroes!G129</f>
        <v>0</v>
      </c>
      <c r="H143" s="22">
        <f>[1]Heroes!H129</f>
        <v>0</v>
      </c>
      <c r="I143" s="22">
        <f>[1]Heroes!I129</f>
        <v>0</v>
      </c>
      <c r="J143" s="22">
        <f>[1]Heroes!J129</f>
        <v>0</v>
      </c>
      <c r="K143" s="22">
        <f>[1]Heroes!K129</f>
        <v>0</v>
      </c>
    </row>
    <row r="144" spans="1:11" x14ac:dyDescent="0.25">
      <c r="A144" s="22">
        <f>[1]Heroes!A130</f>
        <v>0</v>
      </c>
      <c r="B144" s="22">
        <f>[1]Heroes!B130</f>
        <v>0</v>
      </c>
      <c r="C144" s="22">
        <f>[1]Heroes!C130</f>
        <v>0</v>
      </c>
      <c r="D144" s="22">
        <f>[1]Heroes!D130</f>
        <v>0</v>
      </c>
      <c r="E144" s="22">
        <f>[1]Heroes!E130</f>
        <v>0</v>
      </c>
      <c r="F144" s="22">
        <f>[1]Heroes!F130</f>
        <v>0</v>
      </c>
      <c r="G144" s="22">
        <f>[1]Heroes!G130</f>
        <v>0</v>
      </c>
      <c r="H144" s="22">
        <f>[1]Heroes!H130</f>
        <v>0</v>
      </c>
      <c r="I144" s="22">
        <f>[1]Heroes!I130</f>
        <v>0</v>
      </c>
      <c r="J144" s="22">
        <f>[1]Heroes!J130</f>
        <v>0</v>
      </c>
      <c r="K144" s="22">
        <f>[1]Heroes!K130</f>
        <v>0</v>
      </c>
    </row>
    <row r="145" spans="1:11" x14ac:dyDescent="0.25">
      <c r="A145" s="22">
        <f>[1]Heroes!A131</f>
        <v>0</v>
      </c>
      <c r="B145" s="22">
        <f>[1]Heroes!B131</f>
        <v>0</v>
      </c>
      <c r="C145" s="22">
        <f>[1]Heroes!C131</f>
        <v>0</v>
      </c>
      <c r="D145" s="22">
        <f>[1]Heroes!D131</f>
        <v>0</v>
      </c>
      <c r="E145" s="22">
        <f>[1]Heroes!E131</f>
        <v>0</v>
      </c>
      <c r="F145" s="22">
        <f>[1]Heroes!F131</f>
        <v>0</v>
      </c>
      <c r="G145" s="22">
        <f>[1]Heroes!G131</f>
        <v>0</v>
      </c>
      <c r="H145" s="22">
        <f>[1]Heroes!H131</f>
        <v>0</v>
      </c>
      <c r="I145" s="22">
        <f>[1]Heroes!I131</f>
        <v>0</v>
      </c>
      <c r="J145" s="22">
        <f>[1]Heroes!J131</f>
        <v>0</v>
      </c>
      <c r="K145" s="22">
        <f>[1]Heroes!K131</f>
        <v>0</v>
      </c>
    </row>
    <row r="146" spans="1:11" x14ac:dyDescent="0.25">
      <c r="A146" s="22">
        <f>[1]Heroes!A132</f>
        <v>0</v>
      </c>
      <c r="B146" s="22">
        <f>[1]Heroes!B132</f>
        <v>0</v>
      </c>
      <c r="C146" s="22">
        <f>[1]Heroes!C132</f>
        <v>0</v>
      </c>
      <c r="D146" s="22">
        <f>[1]Heroes!D132</f>
        <v>0</v>
      </c>
      <c r="E146" s="22">
        <f>[1]Heroes!E132</f>
        <v>0</v>
      </c>
      <c r="F146" s="22">
        <f>[1]Heroes!F132</f>
        <v>0</v>
      </c>
      <c r="G146" s="22">
        <f>[1]Heroes!G132</f>
        <v>0</v>
      </c>
      <c r="H146" s="22">
        <f>[1]Heroes!H132</f>
        <v>0</v>
      </c>
      <c r="I146" s="22">
        <f>[1]Heroes!I132</f>
        <v>0</v>
      </c>
      <c r="J146" s="22">
        <f>[1]Heroes!J132</f>
        <v>0</v>
      </c>
      <c r="K146" s="22">
        <f>[1]Heroes!K132</f>
        <v>0</v>
      </c>
    </row>
    <row r="147" spans="1:11" x14ac:dyDescent="0.25">
      <c r="A147" s="22">
        <f>[1]Heroes!A133</f>
        <v>0</v>
      </c>
      <c r="B147" s="22">
        <f>[1]Heroes!B133</f>
        <v>0</v>
      </c>
      <c r="C147" s="22">
        <f>[1]Heroes!C133</f>
        <v>0</v>
      </c>
      <c r="D147" s="22">
        <f>[1]Heroes!D133</f>
        <v>0</v>
      </c>
      <c r="E147" s="22">
        <f>[1]Heroes!E133</f>
        <v>0</v>
      </c>
      <c r="F147" s="22">
        <f>[1]Heroes!F133</f>
        <v>0</v>
      </c>
      <c r="G147" s="22">
        <f>[1]Heroes!G133</f>
        <v>0</v>
      </c>
      <c r="H147" s="22">
        <f>[1]Heroes!H133</f>
        <v>0</v>
      </c>
      <c r="I147" s="22">
        <f>[1]Heroes!I133</f>
        <v>0</v>
      </c>
      <c r="J147" s="22">
        <f>[1]Heroes!J133</f>
        <v>0</v>
      </c>
      <c r="K147" s="22">
        <f>[1]Heroes!K133</f>
        <v>0</v>
      </c>
    </row>
    <row r="148" spans="1:11" x14ac:dyDescent="0.25">
      <c r="A148" s="22">
        <f>[1]Heroes!A134</f>
        <v>0</v>
      </c>
      <c r="B148" s="22">
        <f>[1]Heroes!B134</f>
        <v>0</v>
      </c>
      <c r="C148" s="22">
        <f>[1]Heroes!C134</f>
        <v>0</v>
      </c>
      <c r="D148" s="22">
        <f>[1]Heroes!D134</f>
        <v>0</v>
      </c>
      <c r="E148" s="22">
        <f>[1]Heroes!E134</f>
        <v>0</v>
      </c>
      <c r="F148" s="22">
        <f>[1]Heroes!F134</f>
        <v>0</v>
      </c>
      <c r="G148" s="22">
        <f>[1]Heroes!G134</f>
        <v>0</v>
      </c>
      <c r="H148" s="22">
        <f>[1]Heroes!H134</f>
        <v>0</v>
      </c>
      <c r="I148" s="22">
        <f>[1]Heroes!I134</f>
        <v>0</v>
      </c>
      <c r="J148" s="22">
        <f>[1]Heroes!J134</f>
        <v>0</v>
      </c>
      <c r="K148" s="22">
        <f>[1]Heroes!K134</f>
        <v>0</v>
      </c>
    </row>
    <row r="149" spans="1:11" x14ac:dyDescent="0.25">
      <c r="A149" s="22">
        <f>[1]Heroes!A135</f>
        <v>0</v>
      </c>
      <c r="B149" s="22">
        <f>[1]Heroes!B135</f>
        <v>0</v>
      </c>
      <c r="C149" s="22">
        <f>[1]Heroes!C135</f>
        <v>0</v>
      </c>
      <c r="D149" s="22">
        <f>[1]Heroes!D135</f>
        <v>0</v>
      </c>
      <c r="E149" s="22">
        <f>[1]Heroes!E135</f>
        <v>0</v>
      </c>
      <c r="F149" s="22">
        <f>[1]Heroes!F135</f>
        <v>0</v>
      </c>
      <c r="G149" s="22">
        <f>[1]Heroes!G135</f>
        <v>0</v>
      </c>
      <c r="H149" s="22">
        <f>[1]Heroes!H135</f>
        <v>0</v>
      </c>
      <c r="I149" s="22">
        <f>[1]Heroes!I135</f>
        <v>0</v>
      </c>
      <c r="J149" s="22">
        <f>[1]Heroes!J135</f>
        <v>0</v>
      </c>
      <c r="K149" s="22">
        <f>[1]Heroes!K135</f>
        <v>0</v>
      </c>
    </row>
    <row r="150" spans="1:11" x14ac:dyDescent="0.25">
      <c r="A150" s="22">
        <f>[1]Heroes!A136</f>
        <v>0</v>
      </c>
      <c r="B150" s="22">
        <f>[1]Heroes!B136</f>
        <v>0</v>
      </c>
      <c r="C150" s="22">
        <f>[1]Heroes!C136</f>
        <v>0</v>
      </c>
      <c r="D150" s="22">
        <f>[1]Heroes!D136</f>
        <v>0</v>
      </c>
      <c r="E150" s="22">
        <f>[1]Heroes!E136</f>
        <v>0</v>
      </c>
      <c r="F150" s="22">
        <f>[1]Heroes!F136</f>
        <v>0</v>
      </c>
      <c r="G150" s="22">
        <f>[1]Heroes!G136</f>
        <v>0</v>
      </c>
      <c r="H150" s="22">
        <f>[1]Heroes!H136</f>
        <v>0</v>
      </c>
      <c r="I150" s="22">
        <f>[1]Heroes!I136</f>
        <v>0</v>
      </c>
      <c r="J150" s="22">
        <f>[1]Heroes!J136</f>
        <v>0</v>
      </c>
      <c r="K150" s="22">
        <f>[1]Heroes!K136</f>
        <v>0</v>
      </c>
    </row>
    <row r="151" spans="1:11" x14ac:dyDescent="0.25">
      <c r="A151" s="22">
        <f>[1]Heroes!A137</f>
        <v>0</v>
      </c>
      <c r="B151" s="22">
        <f>[1]Heroes!B137</f>
        <v>0</v>
      </c>
      <c r="C151" s="22">
        <f>[1]Heroes!C137</f>
        <v>0</v>
      </c>
      <c r="D151" s="22">
        <f>[1]Heroes!D137</f>
        <v>0</v>
      </c>
      <c r="E151" s="22">
        <f>[1]Heroes!E137</f>
        <v>0</v>
      </c>
      <c r="F151" s="22">
        <f>[1]Heroes!F137</f>
        <v>0</v>
      </c>
      <c r="G151" s="22">
        <f>[1]Heroes!G137</f>
        <v>0</v>
      </c>
      <c r="H151" s="22">
        <f>[1]Heroes!H137</f>
        <v>0</v>
      </c>
      <c r="I151" s="22">
        <f>[1]Heroes!I137</f>
        <v>0</v>
      </c>
      <c r="J151" s="22">
        <f>[1]Heroes!J137</f>
        <v>0</v>
      </c>
      <c r="K151" s="22">
        <f>[1]Heroes!K137</f>
        <v>0</v>
      </c>
    </row>
    <row r="152" spans="1:11" x14ac:dyDescent="0.25">
      <c r="A152" s="22">
        <f>[1]Heroes!A138</f>
        <v>0</v>
      </c>
      <c r="B152" s="22">
        <f>[1]Heroes!B138</f>
        <v>0</v>
      </c>
      <c r="C152" s="22">
        <f>[1]Heroes!C138</f>
        <v>0</v>
      </c>
      <c r="D152" s="22">
        <f>[1]Heroes!D138</f>
        <v>0</v>
      </c>
      <c r="E152" s="22">
        <f>[1]Heroes!E138</f>
        <v>0</v>
      </c>
      <c r="F152" s="22">
        <f>[1]Heroes!F138</f>
        <v>0</v>
      </c>
      <c r="G152" s="22">
        <f>[1]Heroes!G138</f>
        <v>0</v>
      </c>
      <c r="H152" s="22">
        <f>[1]Heroes!H138</f>
        <v>0</v>
      </c>
      <c r="I152" s="22">
        <f>[1]Heroes!I138</f>
        <v>0</v>
      </c>
      <c r="J152" s="22">
        <f>[1]Heroes!J138</f>
        <v>0</v>
      </c>
      <c r="K152" s="22">
        <f>[1]Heroes!K138</f>
        <v>0</v>
      </c>
    </row>
    <row r="153" spans="1:11" x14ac:dyDescent="0.25">
      <c r="A153" s="22">
        <f>[1]Heroes!A139</f>
        <v>0</v>
      </c>
      <c r="B153" s="22">
        <f>[1]Heroes!B139</f>
        <v>0</v>
      </c>
      <c r="C153" s="22">
        <f>[1]Heroes!C139</f>
        <v>0</v>
      </c>
      <c r="D153" s="22">
        <f>[1]Heroes!D139</f>
        <v>0</v>
      </c>
      <c r="E153" s="22">
        <f>[1]Heroes!E139</f>
        <v>0</v>
      </c>
      <c r="F153" s="22">
        <f>[1]Heroes!F139</f>
        <v>0</v>
      </c>
      <c r="G153" s="22">
        <f>[1]Heroes!G139</f>
        <v>0</v>
      </c>
      <c r="H153" s="22">
        <f>[1]Heroes!H139</f>
        <v>0</v>
      </c>
      <c r="I153" s="22">
        <f>[1]Heroes!I139</f>
        <v>0</v>
      </c>
      <c r="J153" s="22">
        <f>[1]Heroes!J139</f>
        <v>0</v>
      </c>
      <c r="K153" s="22">
        <f>[1]Heroes!K139</f>
        <v>0</v>
      </c>
    </row>
    <row r="154" spans="1:11" x14ac:dyDescent="0.25">
      <c r="A154" s="22">
        <f>[1]Heroes!A140</f>
        <v>0</v>
      </c>
      <c r="B154" s="22">
        <f>[1]Heroes!B140</f>
        <v>0</v>
      </c>
      <c r="C154" s="22">
        <f>[1]Heroes!C140</f>
        <v>0</v>
      </c>
      <c r="D154" s="22">
        <f>[1]Heroes!D140</f>
        <v>0</v>
      </c>
      <c r="E154" s="22">
        <f>[1]Heroes!E140</f>
        <v>0</v>
      </c>
      <c r="F154" s="22">
        <f>[1]Heroes!F140</f>
        <v>0</v>
      </c>
      <c r="G154" s="22">
        <f>[1]Heroes!G140</f>
        <v>0</v>
      </c>
      <c r="H154" s="22">
        <f>[1]Heroes!H140</f>
        <v>0</v>
      </c>
      <c r="I154" s="22">
        <f>[1]Heroes!I140</f>
        <v>0</v>
      </c>
      <c r="J154" s="22">
        <f>[1]Heroes!J140</f>
        <v>0</v>
      </c>
      <c r="K154" s="22">
        <f>[1]Heroes!K140</f>
        <v>0</v>
      </c>
    </row>
    <row r="155" spans="1:11" x14ac:dyDescent="0.25">
      <c r="A155" s="22">
        <f>[1]Heroes!A141</f>
        <v>0</v>
      </c>
      <c r="B155" s="22">
        <f>[1]Heroes!B141</f>
        <v>0</v>
      </c>
      <c r="C155" s="22">
        <f>[1]Heroes!C141</f>
        <v>0</v>
      </c>
      <c r="D155" s="22">
        <f>[1]Heroes!D141</f>
        <v>0</v>
      </c>
      <c r="E155" s="22">
        <f>[1]Heroes!E141</f>
        <v>0</v>
      </c>
      <c r="F155" s="22">
        <f>[1]Heroes!F141</f>
        <v>0</v>
      </c>
      <c r="G155" s="22">
        <f>[1]Heroes!G141</f>
        <v>0</v>
      </c>
      <c r="H155" s="22">
        <f>[1]Heroes!H141</f>
        <v>0</v>
      </c>
      <c r="I155" s="22">
        <f>[1]Heroes!I141</f>
        <v>0</v>
      </c>
      <c r="J155" s="22">
        <f>[1]Heroes!J141</f>
        <v>0</v>
      </c>
      <c r="K155" s="22">
        <f>[1]Heroes!K141</f>
        <v>0</v>
      </c>
    </row>
  </sheetData>
  <conditionalFormatting sqref="AA15:AA15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5:K155">
    <cfRule type="expression" dxfId="0" priority="1">
      <formula>$A$11=$A15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Dota 2</vt:lpstr>
      <vt:lpstr>Items</vt:lpstr>
      <vt:lpstr>Heroes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</dc:creator>
  <cp:lastModifiedBy>Filip</cp:lastModifiedBy>
  <dcterms:created xsi:type="dcterms:W3CDTF">2019-11-26T17:12:05Z</dcterms:created>
  <dcterms:modified xsi:type="dcterms:W3CDTF">2022-06-25T13:33:40Z</dcterms:modified>
</cp:coreProperties>
</file>